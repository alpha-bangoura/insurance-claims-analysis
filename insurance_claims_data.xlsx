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a241fd7f14c96af/Documents/Data Analyst Portfolio/Insurance Claims Analysis/"/>
    </mc:Choice>
  </mc:AlternateContent>
  <xr:revisionPtr revIDLastSave="112" documentId="11_4AB530BED3E0DC4C75E0C4F0505ED87656CF31EF" xr6:coauthVersionLast="47" xr6:coauthVersionMax="47" xr10:uidLastSave="{3FBB6F6B-7B96-4DE7-9C97-4B8590BFF10F}"/>
  <bookViews>
    <workbookView xWindow="-120" yWindow="-120" windowWidth="23280" windowHeight="14880" activeTab="1" xr2:uid="{00000000-000D-0000-FFFF-FFFF00000000}"/>
  </bookViews>
  <sheets>
    <sheet name="Raw Data" sheetId="1" r:id="rId1"/>
    <sheet name="State Analysis" sheetId="2" r:id="rId2"/>
    <sheet name="Age Analysis" sheetId="3" r:id="rId3"/>
  </sheets>
  <calcPr calcId="191029"/>
  <pivotCaches>
    <pivotCache cacheId="3" r:id="rId4"/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<sst xmlns="http://schemas.openxmlformats.org/spreadsheetml/2006/main" count="1028" uniqueCount="23">
  <si>
    <t>Policy_ID</t>
  </si>
  <si>
    <t>Age</t>
  </si>
  <si>
    <t>State</t>
  </si>
  <si>
    <t>Premium</t>
  </si>
  <si>
    <t>Claim</t>
  </si>
  <si>
    <t>Claim_Amount</t>
  </si>
  <si>
    <t>KY</t>
  </si>
  <si>
    <t>No</t>
  </si>
  <si>
    <t>Yes</t>
  </si>
  <si>
    <t>PA</t>
  </si>
  <si>
    <t>OH</t>
  </si>
  <si>
    <t>IN</t>
  </si>
  <si>
    <t>MI</t>
  </si>
  <si>
    <t>Total Policies</t>
  </si>
  <si>
    <t>Row Labels</t>
  </si>
  <si>
    <t>Grand Total</t>
  </si>
  <si>
    <t>Sum of Claim_Amount</t>
  </si>
  <si>
    <t>Count of Claim</t>
  </si>
  <si>
    <t>Age_Group</t>
  </si>
  <si>
    <t>Middle</t>
  </si>
  <si>
    <t>Senior</t>
  </si>
  <si>
    <t>Young</t>
  </si>
  <si>
    <t>Count of Policy_ID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</si>
</sst>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0" fillId="3" borderId="1" xfId="0" applyFill="1" applyBorder="1"/>
    <xf numFmtId="9" fontId="0" fillId="3" borderId="1" xfId="2" applyFont="1" applyFill="1" applyBorder="1"/>
    <xf numFmtId="44" fontId="0" fillId="3" borderId="1" xfId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[insurance_claims_data.xlsx]State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Analysis'!$B$3</c:f>
              <c:strCache>
                <c:ptCount val="1"/>
                <c:pt idx="0">
                  <c:v>Sum of Claim_Amount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 Analysis'!$A$4:$A$9</c:f>
              <c:strCache>
                <c:ptCount val="5"/>
                <c:pt idx="0">
                  <c:v>IN</c:v>
                </c:pt>
                <c:pt idx="1">
                  <c:v>KY</c:v>
                </c:pt>
                <c:pt idx="2">
                  <c:v>MI</c:v>
                </c:pt>
                <c:pt idx="3">
                  <c:v>OH</c:v>
                </c:pt>
                <c:pt idx="4">
                  <c:v>PA</c:v>
                </c:pt>
              </c:strCache>
            </c:strRef>
          </c:cat>
          <c:val>
            <c:numRef>
              <c:f>'State Analysis'!$B$4:$B$9</c:f>
              <c:numCache>
                <c:formatCode>General</c:formatCode>
                <c:ptCount val="5"/>
                <c:pt idx="0">
                  <c:v>149946</c:v>
                </c:pt>
                <c:pt idx="1">
                  <c:v>106630</c:v>
                </c:pt>
                <c:pt idx="2">
                  <c:v>136226</c:v>
                </c:pt>
                <c:pt idx="3">
                  <c:v>155041</c:v>
                </c:pt>
                <c:pt idx="4">
                  <c:v>200277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E-49AF-8847-DE963CB348FB}"/>
            </c:ext>
          </c:extLst>
        </c:ser>
        <c:ser>
          <c:idx val="1"/>
          <c:order val="1"/>
          <c:tx>
            <c:strRef>
              <c:f>'State Analysis'!$C$3</c:f>
              <c:strCache>
                <c:ptCount val="1"/>
                <c:pt idx="0">
                  <c:v>Count of Claim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'State Analysis'!$A$4:$A$9</c:f>
              <c:strCache>
                <c:ptCount val="5"/>
                <c:pt idx="0">
                  <c:v>IN</c:v>
                </c:pt>
                <c:pt idx="1">
                  <c:v>KY</c:v>
                </c:pt>
                <c:pt idx="2">
                  <c:v>MI</c:v>
                </c:pt>
                <c:pt idx="3">
                  <c:v>OH</c:v>
                </c:pt>
                <c:pt idx="4">
                  <c:v>PA</c:v>
                </c:pt>
              </c:strCache>
            </c:strRef>
          </c:cat>
          <c:val>
            <c:numRef>
              <c:f>'State Analysis'!$C$4:$C$9</c:f>
              <c:numCache>
                <c:formatCode>General</c:formatCode>
                <c:ptCount val="5"/>
                <c:pt idx="0">
                  <c:v>113</c:v>
                </c:pt>
                <c:pt idx="1">
                  <c:v>94</c:v>
                </c:pt>
                <c:pt idx="2">
                  <c:v>93</c:v>
                </c:pt>
                <c:pt idx="3">
                  <c:v>105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E-49AF-8847-DE963CB34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534783"/>
        <c:axId val="766529503"/>
      </c:barChart>
      <c:catAx>
        <c:axId val="76653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29503"/>
        <c:crosses val="autoZero"/>
        <c:auto val="1"/>
        <c:lblAlgn val="ctr"/>
        <c:lblOffset val="100"/>
        <c:noMultiLvlLbl val="0"/>
      </c:catAx>
      <c:valAx>
        <c:axId val="76652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53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[insurance_claims_data.xlsx]Age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Insurance</a:t>
            </a:r>
            <a:r>
              <a:rPr lang="en-US" baseline="0"/>
              <a:t> Claims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Analysis'!$B$3</c:f>
              <c:strCache>
                <c:ptCount val="1"/>
                <c:pt idx="0">
                  <c:v>Sum of Claim_Amount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Analysis'!$A$4:$A$7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'Age Analysis'!$B$4:$B$7</c:f>
              <c:numCache>
                <c:formatCode>General</c:formatCode>
                <c:ptCount val="3"/>
                <c:pt idx="0">
                  <c:v>292655</c:v>
                </c:pt>
                <c:pt idx="1">
                  <c:v>358168</c:v>
                </c:pt>
                <c:pt idx="2">
                  <c:v>97297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2-4F52-95D3-C7E605DD018C}"/>
            </c:ext>
          </c:extLst>
        </c:ser>
        <c:ser>
          <c:idx val="1"/>
          <c:order val="1"/>
          <c:tx>
            <c:strRef>
              <c:f>'Age Analysis'!$C$3</c:f>
              <c:strCache>
                <c:ptCount val="1"/>
                <c:pt idx="0">
                  <c:v>Count of Policy_ID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Analysis'!$A$4:$A$7</c:f>
              <c:strCache>
                <c:ptCount val="3"/>
                <c:pt idx="0">
                  <c:v>Middle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'Age Analysis'!$C$4:$C$7</c:f>
              <c:numCache>
                <c:formatCode>General</c:formatCode>
                <c:ptCount val="3"/>
                <c:pt idx="0">
                  <c:v>176</c:v>
                </c:pt>
                <c:pt idx="1">
                  <c:v>240</c:v>
                </c:pt>
                <c:pt idx="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32-4F52-95D3-C7E605DD0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6103760"/>
        <c:axId val="1286102320"/>
      </c:barChart>
      <c:catAx>
        <c:axId val="128610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02320"/>
        <c:crosses val="autoZero"/>
        <c:auto val="1"/>
        <c:lblAlgn val="ctr"/>
        <c:lblOffset val="100"/>
        <c:noMultiLvlLbl val="0"/>
      </c:catAx>
      <c:valAx>
        <c:axId val="128610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10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5</xdr:col>
      <xdr:colOff>133350</xdr:colOff>
      <xdr:row>24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CC8E0-F1AB-2ADB-51A4-D86905739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14287</xdr:rowOff>
    </xdr:from>
    <xdr:to>
      <xdr:col>5</xdr:col>
      <xdr:colOff>9525</xdr:colOff>
      <xdr:row>22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9343D5-6AB5-C38D-6F2E-3B30E0A2D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185.022893634261" createdVersion="8" refreshedVersion="8" minRefreshableVersion="3" recordCount="500" xr:uid="{8B50A0F4-1B86-4A12-9D33-823632FEDC90}">
  <cacheSource type="worksheet">
    <worksheetSource ref="A1:F501" sheet="Raw Data"/>
  </cacheSource>
  <cacheFields count="6">
    <cacheField name="Policy_ID" numFmtId="0">
      <sharedItems containsSemiMixedTypes="0" containsString="0" containsNumber="1" containsInteger="1" minValue="1" maxValue="500"/>
    </cacheField>
    <cacheField name="Age" numFmtId="0">
      <sharedItems containsSemiMixedTypes="0" containsString="0" containsNumber="1" containsInteger="1" minValue="18" maxValue="80"/>
    </cacheField>
    <cacheField name="State" numFmtId="0">
      <sharedItems count="5">
        <s v="KY"/>
        <s v="PA"/>
        <s v="OH"/>
        <s v="IN"/>
        <s v="MI"/>
      </sharedItems>
    </cacheField>
    <cacheField name="Premium" numFmtId="0">
      <sharedItems containsSemiMixedTypes="0" containsString="0" containsNumber="1" containsInteger="1" minValue="807" maxValue="3000"/>
    </cacheField>
    <cacheField name="Claim" numFmtId="0">
      <sharedItems/>
    </cacheField>
    <cacheField name="Claim_Amount" numFmtId="0">
      <sharedItems containsSemiMixedTypes="0" containsString="0" containsNumber="1" containsInteger="1" minValue="0" maxValue="199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185.527145717591" createdVersion="8" refreshedVersion="8" minRefreshableVersion="3" recordCount="500" xr:uid="{9F90167E-C07E-414A-B43C-94C122A6BCD1}">
  <cacheSource type="worksheet">
    <worksheetSource ref="A1:G501" sheet="Raw Data"/>
  </cacheSource>
  <cacheFields count="7">
    <cacheField name="Policy_ID" numFmtId="0">
      <sharedItems containsSemiMixedTypes="0" containsString="0" containsNumber="1" containsInteger="1" minValue="1" maxValue="500"/>
    </cacheField>
    <cacheField name="Age" numFmtId="0">
      <sharedItems containsSemiMixedTypes="0" containsString="0" containsNumber="1" containsInteger="1" minValue="18" maxValue="80"/>
    </cacheField>
    <cacheField name="State" numFmtId="0">
      <sharedItems/>
    </cacheField>
    <cacheField name="Premium" numFmtId="0">
      <sharedItems containsSemiMixedTypes="0" containsString="0" containsNumber="1" containsInteger="1" minValue="807" maxValue="3000"/>
    </cacheField>
    <cacheField name="Claim" numFmtId="0">
      <sharedItems/>
    </cacheField>
    <cacheField name="Claim_Amount" numFmtId="0">
      <sharedItems containsSemiMixedTypes="0" containsString="0" containsNumber="1" containsInteger="1" minValue="0" maxValue="19942"/>
    </cacheField>
    <cacheField name="Age_Group" numFmtId="0">
      <sharedItems count="3">
        <s v="Senior"/>
        <s v="Young"/>
        <s v="Midd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56"/>
    <x v="0"/>
    <n v="1640"/>
    <s v="No"/>
    <n v="0"/>
  </r>
  <r>
    <n v="2"/>
    <n v="66"/>
    <x v="0"/>
    <n v="1632"/>
    <s v="No"/>
    <n v="0"/>
  </r>
  <r>
    <n v="3"/>
    <n v="56"/>
    <x v="0"/>
    <n v="1770"/>
    <s v="Yes"/>
    <n v="12490"/>
  </r>
  <r>
    <n v="4"/>
    <n v="77"/>
    <x v="1"/>
    <n v="2922"/>
    <s v="No"/>
    <n v="0"/>
  </r>
  <r>
    <n v="5"/>
    <n v="23"/>
    <x v="2"/>
    <n v="2026"/>
    <s v="No"/>
    <n v="0"/>
  </r>
  <r>
    <n v="6"/>
    <n v="72"/>
    <x v="2"/>
    <n v="2804"/>
    <s v="No"/>
    <n v="0"/>
  </r>
  <r>
    <n v="7"/>
    <n v="19"/>
    <x v="2"/>
    <n v="2112"/>
    <s v="No"/>
    <n v="0"/>
  </r>
  <r>
    <n v="8"/>
    <n v="31"/>
    <x v="3"/>
    <n v="1594"/>
    <s v="No"/>
    <n v="0"/>
  </r>
  <r>
    <n v="9"/>
    <n v="74"/>
    <x v="3"/>
    <n v="2058"/>
    <s v="No"/>
    <n v="0"/>
  </r>
  <r>
    <n v="10"/>
    <n v="75"/>
    <x v="4"/>
    <n v="2416"/>
    <s v="No"/>
    <n v="0"/>
  </r>
  <r>
    <n v="11"/>
    <n v="24"/>
    <x v="0"/>
    <n v="944"/>
    <s v="No"/>
    <n v="0"/>
  </r>
  <r>
    <n v="12"/>
    <n v="25"/>
    <x v="0"/>
    <n v="2949"/>
    <s v="No"/>
    <n v="0"/>
  </r>
  <r>
    <n v="13"/>
    <n v="35"/>
    <x v="2"/>
    <n v="1987"/>
    <s v="Yes"/>
    <n v="6976"/>
  </r>
  <r>
    <n v="14"/>
    <n v="77"/>
    <x v="0"/>
    <n v="895"/>
    <s v="No"/>
    <n v="0"/>
  </r>
  <r>
    <n v="15"/>
    <n v="44"/>
    <x v="0"/>
    <n v="1216"/>
    <s v="No"/>
    <n v="0"/>
  </r>
  <r>
    <n v="16"/>
    <n v="67"/>
    <x v="2"/>
    <n v="2227"/>
    <s v="Yes"/>
    <n v="17363"/>
  </r>
  <r>
    <n v="17"/>
    <n v="60"/>
    <x v="1"/>
    <n v="833"/>
    <s v="No"/>
    <n v="0"/>
  </r>
  <r>
    <n v="18"/>
    <n v="32"/>
    <x v="4"/>
    <n v="970"/>
    <s v="No"/>
    <n v="0"/>
  </r>
  <r>
    <n v="19"/>
    <n v="31"/>
    <x v="4"/>
    <n v="1977"/>
    <s v="No"/>
    <n v="0"/>
  </r>
  <r>
    <n v="20"/>
    <n v="28"/>
    <x v="2"/>
    <n v="865"/>
    <s v="No"/>
    <n v="0"/>
  </r>
  <r>
    <n v="21"/>
    <n v="31"/>
    <x v="4"/>
    <n v="2705"/>
    <s v="No"/>
    <n v="0"/>
  </r>
  <r>
    <n v="22"/>
    <n v="62"/>
    <x v="4"/>
    <n v="2403"/>
    <s v="No"/>
    <n v="0"/>
  </r>
  <r>
    <n v="23"/>
    <n v="28"/>
    <x v="4"/>
    <n v="2872"/>
    <s v="Yes"/>
    <n v="15680"/>
  </r>
  <r>
    <n v="24"/>
    <n v="78"/>
    <x v="1"/>
    <n v="2960"/>
    <s v="No"/>
    <n v="0"/>
  </r>
  <r>
    <n v="25"/>
    <n v="68"/>
    <x v="3"/>
    <n v="1054"/>
    <s v="No"/>
    <n v="0"/>
  </r>
  <r>
    <n v="26"/>
    <n v="31"/>
    <x v="2"/>
    <n v="1588"/>
    <s v="Yes"/>
    <n v="3879"/>
  </r>
  <r>
    <n v="27"/>
    <n v="46"/>
    <x v="4"/>
    <n v="2506"/>
    <s v="No"/>
    <n v="0"/>
  </r>
  <r>
    <n v="28"/>
    <n v="52"/>
    <x v="3"/>
    <n v="976"/>
    <s v="No"/>
    <n v="0"/>
  </r>
  <r>
    <n v="29"/>
    <n v="79"/>
    <x v="3"/>
    <n v="2490"/>
    <s v="No"/>
    <n v="0"/>
  </r>
  <r>
    <n v="30"/>
    <n v="74"/>
    <x v="1"/>
    <n v="1783"/>
    <s v="No"/>
    <n v="0"/>
  </r>
  <r>
    <n v="31"/>
    <n v="28"/>
    <x v="3"/>
    <n v="1280"/>
    <s v="No"/>
    <n v="0"/>
  </r>
  <r>
    <n v="32"/>
    <n v="38"/>
    <x v="3"/>
    <n v="2946"/>
    <s v="Yes"/>
    <n v="17631"/>
  </r>
  <r>
    <n v="33"/>
    <n v="20"/>
    <x v="4"/>
    <n v="2653"/>
    <s v="No"/>
    <n v="0"/>
  </r>
  <r>
    <n v="34"/>
    <n v="63"/>
    <x v="2"/>
    <n v="2742"/>
    <s v="No"/>
    <n v="0"/>
  </r>
  <r>
    <n v="35"/>
    <n v="55"/>
    <x v="4"/>
    <n v="2894"/>
    <s v="No"/>
    <n v="0"/>
  </r>
  <r>
    <n v="36"/>
    <n v="39"/>
    <x v="0"/>
    <n v="2895"/>
    <s v="No"/>
    <n v="0"/>
  </r>
  <r>
    <n v="37"/>
    <n v="78"/>
    <x v="0"/>
    <n v="1815"/>
    <s v="No"/>
    <n v="0"/>
  </r>
  <r>
    <n v="38"/>
    <n v="40"/>
    <x v="0"/>
    <n v="1919"/>
    <s v="No"/>
    <n v="0"/>
  </r>
  <r>
    <n v="39"/>
    <n v="36"/>
    <x v="4"/>
    <n v="2979"/>
    <s v="No"/>
    <n v="0"/>
  </r>
  <r>
    <n v="40"/>
    <n v="41"/>
    <x v="2"/>
    <n v="2072"/>
    <s v="No"/>
    <n v="0"/>
  </r>
  <r>
    <n v="41"/>
    <n v="57"/>
    <x v="1"/>
    <n v="1294"/>
    <s v="No"/>
    <n v="0"/>
  </r>
  <r>
    <n v="42"/>
    <n v="78"/>
    <x v="4"/>
    <n v="2365"/>
    <s v="No"/>
    <n v="0"/>
  </r>
  <r>
    <n v="43"/>
    <n v="32"/>
    <x v="4"/>
    <n v="2613"/>
    <s v="No"/>
    <n v="0"/>
  </r>
  <r>
    <n v="44"/>
    <n v="38"/>
    <x v="4"/>
    <n v="1075"/>
    <s v="No"/>
    <n v="0"/>
  </r>
  <r>
    <n v="45"/>
    <n v="62"/>
    <x v="2"/>
    <n v="1527"/>
    <s v="No"/>
    <n v="0"/>
  </r>
  <r>
    <n v="46"/>
    <n v="46"/>
    <x v="2"/>
    <n v="2551"/>
    <s v="No"/>
    <n v="0"/>
  </r>
  <r>
    <n v="47"/>
    <n v="38"/>
    <x v="2"/>
    <n v="1236"/>
    <s v="No"/>
    <n v="0"/>
  </r>
  <r>
    <n v="48"/>
    <n v="68"/>
    <x v="2"/>
    <n v="2547"/>
    <s v="No"/>
    <n v="0"/>
  </r>
  <r>
    <n v="49"/>
    <n v="64"/>
    <x v="0"/>
    <n v="1381"/>
    <s v="No"/>
    <n v="0"/>
  </r>
  <r>
    <n v="50"/>
    <n v="33"/>
    <x v="4"/>
    <n v="2011"/>
    <s v="No"/>
    <n v="0"/>
  </r>
  <r>
    <n v="51"/>
    <n v="41"/>
    <x v="4"/>
    <n v="1797"/>
    <s v="No"/>
    <n v="0"/>
  </r>
  <r>
    <n v="52"/>
    <n v="62"/>
    <x v="3"/>
    <n v="2369"/>
    <s v="No"/>
    <n v="0"/>
  </r>
  <r>
    <n v="53"/>
    <n v="56"/>
    <x v="3"/>
    <n v="2447"/>
    <s v="No"/>
    <n v="0"/>
  </r>
  <r>
    <n v="54"/>
    <n v="62"/>
    <x v="4"/>
    <n v="2254"/>
    <s v="No"/>
    <n v="0"/>
  </r>
  <r>
    <n v="55"/>
    <n v="26"/>
    <x v="0"/>
    <n v="2752"/>
    <s v="No"/>
    <n v="0"/>
  </r>
  <r>
    <n v="56"/>
    <n v="23"/>
    <x v="3"/>
    <n v="2749"/>
    <s v="No"/>
    <n v="0"/>
  </r>
  <r>
    <n v="57"/>
    <n v="64"/>
    <x v="1"/>
    <n v="1829"/>
    <s v="No"/>
    <n v="0"/>
  </r>
  <r>
    <n v="58"/>
    <n v="71"/>
    <x v="3"/>
    <n v="936"/>
    <s v="No"/>
    <n v="0"/>
  </r>
  <r>
    <n v="59"/>
    <n v="21"/>
    <x v="1"/>
    <n v="2987"/>
    <s v="No"/>
    <n v="0"/>
  </r>
  <r>
    <n v="60"/>
    <n v="30"/>
    <x v="4"/>
    <n v="1803"/>
    <s v="No"/>
    <n v="0"/>
  </r>
  <r>
    <n v="61"/>
    <n v="21"/>
    <x v="1"/>
    <n v="1713"/>
    <s v="No"/>
    <n v="0"/>
  </r>
  <r>
    <n v="62"/>
    <n v="21"/>
    <x v="3"/>
    <n v="2440"/>
    <s v="No"/>
    <n v="0"/>
  </r>
  <r>
    <n v="63"/>
    <n v="49"/>
    <x v="3"/>
    <n v="2154"/>
    <s v="No"/>
    <n v="0"/>
  </r>
  <r>
    <n v="64"/>
    <n v="32"/>
    <x v="0"/>
    <n v="832"/>
    <s v="No"/>
    <n v="0"/>
  </r>
  <r>
    <n v="65"/>
    <n v="74"/>
    <x v="3"/>
    <n v="1919"/>
    <s v="No"/>
    <n v="0"/>
  </r>
  <r>
    <n v="66"/>
    <n v="49"/>
    <x v="2"/>
    <n v="2009"/>
    <s v="No"/>
    <n v="0"/>
  </r>
  <r>
    <n v="67"/>
    <n v="60"/>
    <x v="3"/>
    <n v="2193"/>
    <s v="No"/>
    <n v="0"/>
  </r>
  <r>
    <n v="68"/>
    <n v="52"/>
    <x v="3"/>
    <n v="1503"/>
    <s v="No"/>
    <n v="0"/>
  </r>
  <r>
    <n v="69"/>
    <n v="46"/>
    <x v="1"/>
    <n v="2109"/>
    <s v="No"/>
    <n v="0"/>
  </r>
  <r>
    <n v="70"/>
    <n v="24"/>
    <x v="3"/>
    <n v="1285"/>
    <s v="No"/>
    <n v="0"/>
  </r>
  <r>
    <n v="71"/>
    <n v="68"/>
    <x v="0"/>
    <n v="1564"/>
    <s v="No"/>
    <n v="0"/>
  </r>
  <r>
    <n v="72"/>
    <n v="63"/>
    <x v="0"/>
    <n v="1483"/>
    <s v="No"/>
    <n v="0"/>
  </r>
  <r>
    <n v="73"/>
    <n v="68"/>
    <x v="3"/>
    <n v="807"/>
    <s v="No"/>
    <n v="0"/>
  </r>
  <r>
    <n v="74"/>
    <n v="56"/>
    <x v="2"/>
    <n v="2009"/>
    <s v="No"/>
    <n v="0"/>
  </r>
  <r>
    <n v="75"/>
    <n v="25"/>
    <x v="2"/>
    <n v="2933"/>
    <s v="No"/>
    <n v="0"/>
  </r>
  <r>
    <n v="76"/>
    <n v="69"/>
    <x v="1"/>
    <n v="1496"/>
    <s v="No"/>
    <n v="0"/>
  </r>
  <r>
    <n v="77"/>
    <n v="26"/>
    <x v="4"/>
    <n v="1498"/>
    <s v="No"/>
    <n v="0"/>
  </r>
  <r>
    <n v="78"/>
    <n v="35"/>
    <x v="3"/>
    <n v="1913"/>
    <s v="No"/>
    <n v="0"/>
  </r>
  <r>
    <n v="79"/>
    <n v="52"/>
    <x v="3"/>
    <n v="1642"/>
    <s v="No"/>
    <n v="0"/>
  </r>
  <r>
    <n v="80"/>
    <n v="56"/>
    <x v="2"/>
    <n v="907"/>
    <s v="No"/>
    <n v="0"/>
  </r>
  <r>
    <n v="81"/>
    <n v="35"/>
    <x v="1"/>
    <n v="2177"/>
    <s v="No"/>
    <n v="0"/>
  </r>
  <r>
    <n v="82"/>
    <n v="68"/>
    <x v="4"/>
    <n v="2238"/>
    <s v="No"/>
    <n v="0"/>
  </r>
  <r>
    <n v="83"/>
    <n v="20"/>
    <x v="3"/>
    <n v="2785"/>
    <s v="No"/>
    <n v="0"/>
  </r>
  <r>
    <n v="84"/>
    <n v="28"/>
    <x v="2"/>
    <n v="1850"/>
    <s v="No"/>
    <n v="0"/>
  </r>
  <r>
    <n v="85"/>
    <n v="73"/>
    <x v="0"/>
    <n v="2547"/>
    <s v="No"/>
    <n v="0"/>
  </r>
  <r>
    <n v="86"/>
    <n v="30"/>
    <x v="0"/>
    <n v="1093"/>
    <s v="No"/>
    <n v="0"/>
  </r>
  <r>
    <n v="87"/>
    <n v="78"/>
    <x v="2"/>
    <n v="2651"/>
    <s v="No"/>
    <n v="0"/>
  </r>
  <r>
    <n v="88"/>
    <n v="46"/>
    <x v="4"/>
    <n v="1203"/>
    <s v="No"/>
    <n v="0"/>
  </r>
  <r>
    <n v="89"/>
    <n v="72"/>
    <x v="4"/>
    <n v="1674"/>
    <s v="No"/>
    <n v="0"/>
  </r>
  <r>
    <n v="90"/>
    <n v="62"/>
    <x v="3"/>
    <n v="1756"/>
    <s v="No"/>
    <n v="0"/>
  </r>
  <r>
    <n v="91"/>
    <n v="23"/>
    <x v="4"/>
    <n v="2322"/>
    <s v="No"/>
    <n v="0"/>
  </r>
  <r>
    <n v="92"/>
    <n v="55"/>
    <x v="1"/>
    <n v="2005"/>
    <s v="No"/>
    <n v="0"/>
  </r>
  <r>
    <n v="93"/>
    <n v="65"/>
    <x v="3"/>
    <n v="1017"/>
    <s v="No"/>
    <n v="0"/>
  </r>
  <r>
    <n v="94"/>
    <n v="35"/>
    <x v="3"/>
    <n v="2408"/>
    <s v="No"/>
    <n v="0"/>
  </r>
  <r>
    <n v="95"/>
    <n v="75"/>
    <x v="2"/>
    <n v="2847"/>
    <s v="No"/>
    <n v="0"/>
  </r>
  <r>
    <n v="96"/>
    <n v="35"/>
    <x v="4"/>
    <n v="2686"/>
    <s v="No"/>
    <n v="0"/>
  </r>
  <r>
    <n v="97"/>
    <n v="74"/>
    <x v="2"/>
    <n v="2297"/>
    <s v="No"/>
    <n v="0"/>
  </r>
  <r>
    <n v="98"/>
    <n v="43"/>
    <x v="0"/>
    <n v="2289"/>
    <s v="No"/>
    <n v="0"/>
  </r>
  <r>
    <n v="99"/>
    <n v="71"/>
    <x v="1"/>
    <n v="2224"/>
    <s v="No"/>
    <n v="0"/>
  </r>
  <r>
    <n v="100"/>
    <n v="35"/>
    <x v="0"/>
    <n v="1878"/>
    <s v="No"/>
    <n v="0"/>
  </r>
  <r>
    <n v="101"/>
    <n v="25"/>
    <x v="1"/>
    <n v="1405"/>
    <s v="No"/>
    <n v="0"/>
  </r>
  <r>
    <n v="102"/>
    <n v="66"/>
    <x v="2"/>
    <n v="2973"/>
    <s v="No"/>
    <n v="0"/>
  </r>
  <r>
    <n v="103"/>
    <n v="33"/>
    <x v="3"/>
    <n v="2108"/>
    <s v="No"/>
    <n v="0"/>
  </r>
  <r>
    <n v="104"/>
    <n v="18"/>
    <x v="4"/>
    <n v="2703"/>
    <s v="No"/>
    <n v="0"/>
  </r>
  <r>
    <n v="105"/>
    <n v="41"/>
    <x v="3"/>
    <n v="1776"/>
    <s v="No"/>
    <n v="0"/>
  </r>
  <r>
    <n v="106"/>
    <n v="53"/>
    <x v="3"/>
    <n v="822"/>
    <s v="No"/>
    <n v="0"/>
  </r>
  <r>
    <n v="107"/>
    <n v="24"/>
    <x v="0"/>
    <n v="1608"/>
    <s v="No"/>
    <n v="0"/>
  </r>
  <r>
    <n v="108"/>
    <n v="39"/>
    <x v="4"/>
    <n v="1053"/>
    <s v="No"/>
    <n v="0"/>
  </r>
  <r>
    <n v="109"/>
    <n v="61"/>
    <x v="1"/>
    <n v="2379"/>
    <s v="No"/>
    <n v="0"/>
  </r>
  <r>
    <n v="110"/>
    <n v="25"/>
    <x v="4"/>
    <n v="2097"/>
    <s v="No"/>
    <n v="0"/>
  </r>
  <r>
    <n v="111"/>
    <n v="69"/>
    <x v="1"/>
    <n v="2844"/>
    <s v="No"/>
    <n v="0"/>
  </r>
  <r>
    <n v="112"/>
    <n v="75"/>
    <x v="1"/>
    <n v="1244"/>
    <s v="Yes"/>
    <n v="5319"/>
  </r>
  <r>
    <n v="113"/>
    <n v="52"/>
    <x v="4"/>
    <n v="1731"/>
    <s v="No"/>
    <n v="0"/>
  </r>
  <r>
    <n v="114"/>
    <n v="69"/>
    <x v="2"/>
    <n v="1550"/>
    <s v="No"/>
    <n v="0"/>
  </r>
  <r>
    <n v="115"/>
    <n v="37"/>
    <x v="0"/>
    <n v="2006"/>
    <s v="No"/>
    <n v="0"/>
  </r>
  <r>
    <n v="116"/>
    <n v="41"/>
    <x v="3"/>
    <n v="2163"/>
    <s v="No"/>
    <n v="0"/>
  </r>
  <r>
    <n v="117"/>
    <n v="60"/>
    <x v="3"/>
    <n v="2567"/>
    <s v="Yes"/>
    <n v="10177"/>
  </r>
  <r>
    <n v="118"/>
    <n v="39"/>
    <x v="2"/>
    <n v="1142"/>
    <s v="No"/>
    <n v="0"/>
  </r>
  <r>
    <n v="119"/>
    <n v="55"/>
    <x v="0"/>
    <n v="1578"/>
    <s v="No"/>
    <n v="0"/>
  </r>
  <r>
    <n v="120"/>
    <n v="71"/>
    <x v="4"/>
    <n v="2059"/>
    <s v="No"/>
    <n v="0"/>
  </r>
  <r>
    <n v="121"/>
    <n v="53"/>
    <x v="1"/>
    <n v="1302"/>
    <s v="No"/>
    <n v="0"/>
  </r>
  <r>
    <n v="122"/>
    <n v="68"/>
    <x v="2"/>
    <n v="2289"/>
    <s v="No"/>
    <n v="0"/>
  </r>
  <r>
    <n v="123"/>
    <n v="42"/>
    <x v="1"/>
    <n v="1434"/>
    <s v="No"/>
    <n v="0"/>
  </r>
  <r>
    <n v="124"/>
    <n v="27"/>
    <x v="3"/>
    <n v="1009"/>
    <s v="No"/>
    <n v="0"/>
  </r>
  <r>
    <n v="125"/>
    <n v="79"/>
    <x v="0"/>
    <n v="2893"/>
    <s v="No"/>
    <n v="0"/>
  </r>
  <r>
    <n v="126"/>
    <n v="63"/>
    <x v="2"/>
    <n v="1759"/>
    <s v="No"/>
    <n v="0"/>
  </r>
  <r>
    <n v="127"/>
    <n v="36"/>
    <x v="2"/>
    <n v="911"/>
    <s v="No"/>
    <n v="0"/>
  </r>
  <r>
    <n v="128"/>
    <n v="77"/>
    <x v="2"/>
    <n v="1823"/>
    <s v="No"/>
    <n v="0"/>
  </r>
  <r>
    <n v="129"/>
    <n v="61"/>
    <x v="0"/>
    <n v="2220"/>
    <s v="Yes"/>
    <n v="5091"/>
  </r>
  <r>
    <n v="130"/>
    <n v="42"/>
    <x v="1"/>
    <n v="2804"/>
    <s v="No"/>
    <n v="0"/>
  </r>
  <r>
    <n v="131"/>
    <n v="38"/>
    <x v="4"/>
    <n v="1804"/>
    <s v="Yes"/>
    <n v="8353"/>
  </r>
  <r>
    <n v="132"/>
    <n v="25"/>
    <x v="3"/>
    <n v="871"/>
    <s v="No"/>
    <n v="0"/>
  </r>
  <r>
    <n v="133"/>
    <n v="32"/>
    <x v="3"/>
    <n v="1182"/>
    <s v="No"/>
    <n v="0"/>
  </r>
  <r>
    <n v="134"/>
    <n v="30"/>
    <x v="0"/>
    <n v="2716"/>
    <s v="No"/>
    <n v="0"/>
  </r>
  <r>
    <n v="135"/>
    <n v="50"/>
    <x v="4"/>
    <n v="2123"/>
    <s v="No"/>
    <n v="0"/>
  </r>
  <r>
    <n v="136"/>
    <n v="29"/>
    <x v="0"/>
    <n v="2506"/>
    <s v="No"/>
    <n v="0"/>
  </r>
  <r>
    <n v="137"/>
    <n v="59"/>
    <x v="0"/>
    <n v="2652"/>
    <s v="No"/>
    <n v="0"/>
  </r>
  <r>
    <n v="138"/>
    <n v="37"/>
    <x v="3"/>
    <n v="1128"/>
    <s v="Yes"/>
    <n v="2388"/>
  </r>
  <r>
    <n v="139"/>
    <n v="35"/>
    <x v="2"/>
    <n v="838"/>
    <s v="No"/>
    <n v="0"/>
  </r>
  <r>
    <n v="140"/>
    <n v="42"/>
    <x v="3"/>
    <n v="1435"/>
    <s v="Yes"/>
    <n v="5413"/>
  </r>
  <r>
    <n v="141"/>
    <n v="23"/>
    <x v="2"/>
    <n v="917"/>
    <s v="Yes"/>
    <n v="9305"/>
  </r>
  <r>
    <n v="142"/>
    <n v="79"/>
    <x v="0"/>
    <n v="1194"/>
    <s v="Yes"/>
    <n v="16863"/>
  </r>
  <r>
    <n v="143"/>
    <n v="50"/>
    <x v="2"/>
    <n v="2570"/>
    <s v="Yes"/>
    <n v="10453"/>
  </r>
  <r>
    <n v="144"/>
    <n v="37"/>
    <x v="2"/>
    <n v="1428"/>
    <s v="No"/>
    <n v="0"/>
  </r>
  <r>
    <n v="145"/>
    <n v="44"/>
    <x v="1"/>
    <n v="907"/>
    <s v="Yes"/>
    <n v="19590"/>
  </r>
  <r>
    <n v="146"/>
    <n v="44"/>
    <x v="0"/>
    <n v="2089"/>
    <s v="No"/>
    <n v="0"/>
  </r>
  <r>
    <n v="147"/>
    <n v="44"/>
    <x v="0"/>
    <n v="2006"/>
    <s v="No"/>
    <n v="0"/>
  </r>
  <r>
    <n v="148"/>
    <n v="59"/>
    <x v="0"/>
    <n v="2980"/>
    <s v="No"/>
    <n v="0"/>
  </r>
  <r>
    <n v="149"/>
    <n v="44"/>
    <x v="3"/>
    <n v="2709"/>
    <s v="No"/>
    <n v="0"/>
  </r>
  <r>
    <n v="150"/>
    <n v="66"/>
    <x v="2"/>
    <n v="1310"/>
    <s v="Yes"/>
    <n v="7495"/>
  </r>
  <r>
    <n v="151"/>
    <n v="71"/>
    <x v="3"/>
    <n v="1257"/>
    <s v="No"/>
    <n v="0"/>
  </r>
  <r>
    <n v="152"/>
    <n v="75"/>
    <x v="3"/>
    <n v="2640"/>
    <s v="No"/>
    <n v="0"/>
  </r>
  <r>
    <n v="153"/>
    <n v="21"/>
    <x v="1"/>
    <n v="2914"/>
    <s v="No"/>
    <n v="0"/>
  </r>
  <r>
    <n v="154"/>
    <n v="37"/>
    <x v="2"/>
    <n v="2368"/>
    <s v="No"/>
    <n v="0"/>
  </r>
  <r>
    <n v="155"/>
    <n v="80"/>
    <x v="0"/>
    <n v="922"/>
    <s v="No"/>
    <n v="0"/>
  </r>
  <r>
    <n v="156"/>
    <n v="46"/>
    <x v="0"/>
    <n v="1631"/>
    <s v="No"/>
    <n v="0"/>
  </r>
  <r>
    <n v="157"/>
    <n v="47"/>
    <x v="4"/>
    <n v="2488"/>
    <s v="No"/>
    <n v="0"/>
  </r>
  <r>
    <n v="158"/>
    <n v="75"/>
    <x v="3"/>
    <n v="2794"/>
    <s v="No"/>
    <n v="0"/>
  </r>
  <r>
    <n v="159"/>
    <n v="67"/>
    <x v="2"/>
    <n v="1404"/>
    <s v="No"/>
    <n v="0"/>
  </r>
  <r>
    <n v="160"/>
    <n v="62"/>
    <x v="2"/>
    <n v="2439"/>
    <s v="No"/>
    <n v="0"/>
  </r>
  <r>
    <n v="161"/>
    <n v="42"/>
    <x v="4"/>
    <n v="1787"/>
    <s v="No"/>
    <n v="0"/>
  </r>
  <r>
    <n v="162"/>
    <n v="36"/>
    <x v="1"/>
    <n v="865"/>
    <s v="No"/>
    <n v="0"/>
  </r>
  <r>
    <n v="163"/>
    <n v="34"/>
    <x v="1"/>
    <n v="2067"/>
    <s v="Yes"/>
    <n v="5536"/>
  </r>
  <r>
    <n v="164"/>
    <n v="67"/>
    <x v="2"/>
    <n v="1390"/>
    <s v="No"/>
    <n v="0"/>
  </r>
  <r>
    <n v="165"/>
    <n v="49"/>
    <x v="1"/>
    <n v="1965"/>
    <s v="No"/>
    <n v="0"/>
  </r>
  <r>
    <n v="166"/>
    <n v="41"/>
    <x v="4"/>
    <n v="2703"/>
    <s v="No"/>
    <n v="0"/>
  </r>
  <r>
    <n v="167"/>
    <n v="46"/>
    <x v="2"/>
    <n v="2762"/>
    <s v="No"/>
    <n v="0"/>
  </r>
  <r>
    <n v="168"/>
    <n v="73"/>
    <x v="0"/>
    <n v="2960"/>
    <s v="No"/>
    <n v="0"/>
  </r>
  <r>
    <n v="169"/>
    <n v="65"/>
    <x v="4"/>
    <n v="2497"/>
    <s v="No"/>
    <n v="0"/>
  </r>
  <r>
    <n v="170"/>
    <n v="60"/>
    <x v="4"/>
    <n v="2604"/>
    <s v="No"/>
    <n v="0"/>
  </r>
  <r>
    <n v="171"/>
    <n v="55"/>
    <x v="3"/>
    <n v="2145"/>
    <s v="No"/>
    <n v="0"/>
  </r>
  <r>
    <n v="172"/>
    <n v="18"/>
    <x v="1"/>
    <n v="1564"/>
    <s v="No"/>
    <n v="0"/>
  </r>
  <r>
    <n v="173"/>
    <n v="64"/>
    <x v="1"/>
    <n v="808"/>
    <s v="No"/>
    <n v="0"/>
  </r>
  <r>
    <n v="174"/>
    <n v="55"/>
    <x v="1"/>
    <n v="1121"/>
    <s v="Yes"/>
    <n v="5688"/>
  </r>
  <r>
    <n v="175"/>
    <n v="39"/>
    <x v="0"/>
    <n v="2687"/>
    <s v="Yes"/>
    <n v="6106"/>
  </r>
  <r>
    <n v="176"/>
    <n v="18"/>
    <x v="2"/>
    <n v="1674"/>
    <s v="No"/>
    <n v="0"/>
  </r>
  <r>
    <n v="177"/>
    <n v="74"/>
    <x v="2"/>
    <n v="2347"/>
    <s v="No"/>
    <n v="0"/>
  </r>
  <r>
    <n v="178"/>
    <n v="45"/>
    <x v="4"/>
    <n v="2019"/>
    <s v="No"/>
    <n v="0"/>
  </r>
  <r>
    <n v="179"/>
    <n v="39"/>
    <x v="3"/>
    <n v="1093"/>
    <s v="No"/>
    <n v="0"/>
  </r>
  <r>
    <n v="180"/>
    <n v="79"/>
    <x v="3"/>
    <n v="1724"/>
    <s v="No"/>
    <n v="0"/>
  </r>
  <r>
    <n v="181"/>
    <n v="28"/>
    <x v="1"/>
    <n v="1871"/>
    <s v="Yes"/>
    <n v="13365"/>
  </r>
  <r>
    <n v="182"/>
    <n v="47"/>
    <x v="4"/>
    <n v="2692"/>
    <s v="No"/>
    <n v="0"/>
  </r>
  <r>
    <n v="183"/>
    <n v="65"/>
    <x v="0"/>
    <n v="2571"/>
    <s v="No"/>
    <n v="0"/>
  </r>
  <r>
    <n v="184"/>
    <n v="52"/>
    <x v="3"/>
    <n v="1160"/>
    <s v="Yes"/>
    <n v="6483"/>
  </r>
  <r>
    <n v="185"/>
    <n v="45"/>
    <x v="4"/>
    <n v="1555"/>
    <s v="No"/>
    <n v="0"/>
  </r>
  <r>
    <n v="186"/>
    <n v="36"/>
    <x v="1"/>
    <n v="2981"/>
    <s v="No"/>
    <n v="0"/>
  </r>
  <r>
    <n v="187"/>
    <n v="75"/>
    <x v="1"/>
    <n v="1372"/>
    <s v="Yes"/>
    <n v="7903"/>
  </r>
  <r>
    <n v="188"/>
    <n v="54"/>
    <x v="0"/>
    <n v="2936"/>
    <s v="Yes"/>
    <n v="7155"/>
  </r>
  <r>
    <n v="189"/>
    <n v="68"/>
    <x v="1"/>
    <n v="1081"/>
    <s v="Yes"/>
    <n v="11767"/>
  </r>
  <r>
    <n v="190"/>
    <n v="74"/>
    <x v="2"/>
    <n v="1096"/>
    <s v="No"/>
    <n v="0"/>
  </r>
  <r>
    <n v="191"/>
    <n v="26"/>
    <x v="2"/>
    <n v="1647"/>
    <s v="No"/>
    <n v="0"/>
  </r>
  <r>
    <n v="192"/>
    <n v="42"/>
    <x v="1"/>
    <n v="2793"/>
    <s v="Yes"/>
    <n v="7957"/>
  </r>
  <r>
    <n v="193"/>
    <n v="74"/>
    <x v="3"/>
    <n v="2043"/>
    <s v="No"/>
    <n v="0"/>
  </r>
  <r>
    <n v="194"/>
    <n v="52"/>
    <x v="0"/>
    <n v="1902"/>
    <s v="Yes"/>
    <n v="10470"/>
  </r>
  <r>
    <n v="195"/>
    <n v="27"/>
    <x v="3"/>
    <n v="1867"/>
    <s v="Yes"/>
    <n v="2645"/>
  </r>
  <r>
    <n v="196"/>
    <n v="53"/>
    <x v="3"/>
    <n v="2150"/>
    <s v="No"/>
    <n v="0"/>
  </r>
  <r>
    <n v="197"/>
    <n v="75"/>
    <x v="4"/>
    <n v="1391"/>
    <s v="No"/>
    <n v="0"/>
  </r>
  <r>
    <n v="198"/>
    <n v="74"/>
    <x v="3"/>
    <n v="1541"/>
    <s v="No"/>
    <n v="0"/>
  </r>
  <r>
    <n v="199"/>
    <n v="24"/>
    <x v="3"/>
    <n v="1386"/>
    <s v="Yes"/>
    <n v="3268"/>
  </r>
  <r>
    <n v="200"/>
    <n v="36"/>
    <x v="4"/>
    <n v="1038"/>
    <s v="No"/>
    <n v="0"/>
  </r>
  <r>
    <n v="201"/>
    <n v="29"/>
    <x v="0"/>
    <n v="2201"/>
    <s v="No"/>
    <n v="0"/>
  </r>
  <r>
    <n v="202"/>
    <n v="20"/>
    <x v="4"/>
    <n v="2065"/>
    <s v="No"/>
    <n v="0"/>
  </r>
  <r>
    <n v="203"/>
    <n v="60"/>
    <x v="1"/>
    <n v="1638"/>
    <s v="Yes"/>
    <n v="1426"/>
  </r>
  <r>
    <n v="204"/>
    <n v="68"/>
    <x v="3"/>
    <n v="2694"/>
    <s v="No"/>
    <n v="0"/>
  </r>
  <r>
    <n v="205"/>
    <n v="80"/>
    <x v="4"/>
    <n v="886"/>
    <s v="No"/>
    <n v="0"/>
  </r>
  <r>
    <n v="206"/>
    <n v="72"/>
    <x v="2"/>
    <n v="901"/>
    <s v="No"/>
    <n v="0"/>
  </r>
  <r>
    <n v="207"/>
    <n v="30"/>
    <x v="2"/>
    <n v="2389"/>
    <s v="Yes"/>
    <n v="12111"/>
  </r>
  <r>
    <n v="208"/>
    <n v="26"/>
    <x v="1"/>
    <n v="1830"/>
    <s v="No"/>
    <n v="0"/>
  </r>
  <r>
    <n v="209"/>
    <n v="68"/>
    <x v="1"/>
    <n v="2621"/>
    <s v="No"/>
    <n v="0"/>
  </r>
  <r>
    <n v="210"/>
    <n v="68"/>
    <x v="4"/>
    <n v="2784"/>
    <s v="No"/>
    <n v="0"/>
  </r>
  <r>
    <n v="211"/>
    <n v="64"/>
    <x v="1"/>
    <n v="2430"/>
    <s v="No"/>
    <n v="0"/>
  </r>
  <r>
    <n v="212"/>
    <n v="18"/>
    <x v="0"/>
    <n v="1609"/>
    <s v="No"/>
    <n v="0"/>
  </r>
  <r>
    <n v="213"/>
    <n v="27"/>
    <x v="4"/>
    <n v="2482"/>
    <s v="No"/>
    <n v="0"/>
  </r>
  <r>
    <n v="214"/>
    <n v="74"/>
    <x v="2"/>
    <n v="2095"/>
    <s v="Yes"/>
    <n v="13597"/>
  </r>
  <r>
    <n v="215"/>
    <n v="47"/>
    <x v="2"/>
    <n v="1720"/>
    <s v="No"/>
    <n v="0"/>
  </r>
  <r>
    <n v="216"/>
    <n v="36"/>
    <x v="2"/>
    <n v="2102"/>
    <s v="No"/>
    <n v="0"/>
  </r>
  <r>
    <n v="217"/>
    <n v="57"/>
    <x v="3"/>
    <n v="2850"/>
    <s v="No"/>
    <n v="0"/>
  </r>
  <r>
    <n v="218"/>
    <n v="36"/>
    <x v="2"/>
    <n v="969"/>
    <s v="No"/>
    <n v="0"/>
  </r>
  <r>
    <n v="219"/>
    <n v="29"/>
    <x v="1"/>
    <n v="1906"/>
    <s v="No"/>
    <n v="0"/>
  </r>
  <r>
    <n v="220"/>
    <n v="77"/>
    <x v="4"/>
    <n v="2377"/>
    <s v="No"/>
    <n v="0"/>
  </r>
  <r>
    <n v="221"/>
    <n v="20"/>
    <x v="4"/>
    <n v="1916"/>
    <s v="Yes"/>
    <n v="15840"/>
  </r>
  <r>
    <n v="222"/>
    <n v="60"/>
    <x v="2"/>
    <n v="1863"/>
    <s v="No"/>
    <n v="0"/>
  </r>
  <r>
    <n v="223"/>
    <n v="38"/>
    <x v="1"/>
    <n v="1512"/>
    <s v="No"/>
    <n v="0"/>
  </r>
  <r>
    <n v="224"/>
    <n v="54"/>
    <x v="4"/>
    <n v="1477"/>
    <s v="No"/>
    <n v="0"/>
  </r>
  <r>
    <n v="225"/>
    <n v="29"/>
    <x v="2"/>
    <n v="856"/>
    <s v="No"/>
    <n v="0"/>
  </r>
  <r>
    <n v="226"/>
    <n v="24"/>
    <x v="2"/>
    <n v="1627"/>
    <s v="No"/>
    <n v="0"/>
  </r>
  <r>
    <n v="227"/>
    <n v="80"/>
    <x v="4"/>
    <n v="2247"/>
    <s v="No"/>
    <n v="0"/>
  </r>
  <r>
    <n v="228"/>
    <n v="70"/>
    <x v="1"/>
    <n v="1971"/>
    <s v="No"/>
    <n v="0"/>
  </r>
  <r>
    <n v="229"/>
    <n v="30"/>
    <x v="3"/>
    <n v="808"/>
    <s v="Yes"/>
    <n v="13410"/>
  </r>
  <r>
    <n v="230"/>
    <n v="59"/>
    <x v="2"/>
    <n v="2544"/>
    <s v="No"/>
    <n v="0"/>
  </r>
  <r>
    <n v="231"/>
    <n v="30"/>
    <x v="0"/>
    <n v="2436"/>
    <s v="No"/>
    <n v="0"/>
  </r>
  <r>
    <n v="232"/>
    <n v="67"/>
    <x v="4"/>
    <n v="2618"/>
    <s v="No"/>
    <n v="0"/>
  </r>
  <r>
    <n v="233"/>
    <n v="20"/>
    <x v="3"/>
    <n v="2409"/>
    <s v="No"/>
    <n v="0"/>
  </r>
  <r>
    <n v="234"/>
    <n v="41"/>
    <x v="1"/>
    <n v="1241"/>
    <s v="No"/>
    <n v="0"/>
  </r>
  <r>
    <n v="235"/>
    <n v="70"/>
    <x v="1"/>
    <n v="1085"/>
    <s v="Yes"/>
    <n v="8666"/>
  </r>
  <r>
    <n v="236"/>
    <n v="38"/>
    <x v="3"/>
    <n v="2075"/>
    <s v="No"/>
    <n v="0"/>
  </r>
  <r>
    <n v="237"/>
    <n v="52"/>
    <x v="0"/>
    <n v="1431"/>
    <s v="Yes"/>
    <n v="4160"/>
  </r>
  <r>
    <n v="238"/>
    <n v="42"/>
    <x v="3"/>
    <n v="2091"/>
    <s v="No"/>
    <n v="0"/>
  </r>
  <r>
    <n v="239"/>
    <n v="31"/>
    <x v="1"/>
    <n v="1398"/>
    <s v="No"/>
    <n v="0"/>
  </r>
  <r>
    <n v="240"/>
    <n v="46"/>
    <x v="2"/>
    <n v="2624"/>
    <s v="Yes"/>
    <n v="19907"/>
  </r>
  <r>
    <n v="241"/>
    <n v="61"/>
    <x v="3"/>
    <n v="2271"/>
    <s v="No"/>
    <n v="0"/>
  </r>
  <r>
    <n v="242"/>
    <n v="62"/>
    <x v="1"/>
    <n v="2441"/>
    <s v="No"/>
    <n v="0"/>
  </r>
  <r>
    <n v="243"/>
    <n v="22"/>
    <x v="3"/>
    <n v="1241"/>
    <s v="No"/>
    <n v="0"/>
  </r>
  <r>
    <n v="244"/>
    <n v="71"/>
    <x v="1"/>
    <n v="2395"/>
    <s v="No"/>
    <n v="0"/>
  </r>
  <r>
    <n v="245"/>
    <n v="48"/>
    <x v="2"/>
    <n v="2751"/>
    <s v="No"/>
    <n v="0"/>
  </r>
  <r>
    <n v="246"/>
    <n v="55"/>
    <x v="0"/>
    <n v="2223"/>
    <s v="No"/>
    <n v="0"/>
  </r>
  <r>
    <n v="247"/>
    <n v="21"/>
    <x v="3"/>
    <n v="2681"/>
    <s v="No"/>
    <n v="0"/>
  </r>
  <r>
    <n v="248"/>
    <n v="67"/>
    <x v="1"/>
    <n v="1548"/>
    <s v="No"/>
    <n v="0"/>
  </r>
  <r>
    <n v="249"/>
    <n v="54"/>
    <x v="0"/>
    <n v="1424"/>
    <s v="No"/>
    <n v="0"/>
  </r>
  <r>
    <n v="250"/>
    <n v="46"/>
    <x v="1"/>
    <n v="2864"/>
    <s v="Yes"/>
    <n v="15326"/>
  </r>
  <r>
    <n v="251"/>
    <n v="24"/>
    <x v="0"/>
    <n v="2293"/>
    <s v="No"/>
    <n v="0"/>
  </r>
  <r>
    <n v="252"/>
    <n v="64"/>
    <x v="1"/>
    <n v="2225"/>
    <s v="No"/>
    <n v="0"/>
  </r>
  <r>
    <n v="253"/>
    <n v="45"/>
    <x v="1"/>
    <n v="2282"/>
    <s v="No"/>
    <n v="0"/>
  </r>
  <r>
    <n v="254"/>
    <n v="36"/>
    <x v="4"/>
    <n v="2453"/>
    <s v="No"/>
    <n v="0"/>
  </r>
  <r>
    <n v="255"/>
    <n v="75"/>
    <x v="3"/>
    <n v="1257"/>
    <s v="No"/>
    <n v="0"/>
  </r>
  <r>
    <n v="256"/>
    <n v="52"/>
    <x v="3"/>
    <n v="1145"/>
    <s v="No"/>
    <n v="0"/>
  </r>
  <r>
    <n v="257"/>
    <n v="53"/>
    <x v="0"/>
    <n v="948"/>
    <s v="Yes"/>
    <n v="8047"/>
  </r>
  <r>
    <n v="258"/>
    <n v="35"/>
    <x v="1"/>
    <n v="2865"/>
    <s v="No"/>
    <n v="0"/>
  </r>
  <r>
    <n v="259"/>
    <n v="36"/>
    <x v="0"/>
    <n v="1013"/>
    <s v="No"/>
    <n v="0"/>
  </r>
  <r>
    <n v="260"/>
    <n v="69"/>
    <x v="0"/>
    <n v="2885"/>
    <s v="No"/>
    <n v="0"/>
  </r>
  <r>
    <n v="261"/>
    <n v="65"/>
    <x v="3"/>
    <n v="2719"/>
    <s v="No"/>
    <n v="0"/>
  </r>
  <r>
    <n v="262"/>
    <n v="66"/>
    <x v="0"/>
    <n v="2920"/>
    <s v="No"/>
    <n v="0"/>
  </r>
  <r>
    <n v="263"/>
    <n v="72"/>
    <x v="3"/>
    <n v="1514"/>
    <s v="No"/>
    <n v="0"/>
  </r>
  <r>
    <n v="264"/>
    <n v="52"/>
    <x v="3"/>
    <n v="2908"/>
    <s v="No"/>
    <n v="0"/>
  </r>
  <r>
    <n v="265"/>
    <n v="40"/>
    <x v="3"/>
    <n v="2859"/>
    <s v="No"/>
    <n v="0"/>
  </r>
  <r>
    <n v="266"/>
    <n v="77"/>
    <x v="4"/>
    <n v="2045"/>
    <s v="Yes"/>
    <n v="1429"/>
  </r>
  <r>
    <n v="267"/>
    <n v="36"/>
    <x v="2"/>
    <n v="1527"/>
    <s v="No"/>
    <n v="0"/>
  </r>
  <r>
    <n v="268"/>
    <n v="55"/>
    <x v="0"/>
    <n v="2259"/>
    <s v="No"/>
    <n v="0"/>
  </r>
  <r>
    <n v="269"/>
    <n v="54"/>
    <x v="1"/>
    <n v="2767"/>
    <s v="No"/>
    <n v="0"/>
  </r>
  <r>
    <n v="270"/>
    <n v="25"/>
    <x v="4"/>
    <n v="1738"/>
    <s v="No"/>
    <n v="0"/>
  </r>
  <r>
    <n v="271"/>
    <n v="39"/>
    <x v="1"/>
    <n v="2253"/>
    <s v="Yes"/>
    <n v="5091"/>
  </r>
  <r>
    <n v="272"/>
    <n v="64"/>
    <x v="0"/>
    <n v="2383"/>
    <s v="No"/>
    <n v="0"/>
  </r>
  <r>
    <n v="273"/>
    <n v="43"/>
    <x v="1"/>
    <n v="2742"/>
    <s v="No"/>
    <n v="0"/>
  </r>
  <r>
    <n v="274"/>
    <n v="74"/>
    <x v="3"/>
    <n v="2529"/>
    <s v="Yes"/>
    <n v="8402"/>
  </r>
  <r>
    <n v="275"/>
    <n v="69"/>
    <x v="1"/>
    <n v="2239"/>
    <s v="No"/>
    <n v="0"/>
  </r>
  <r>
    <n v="276"/>
    <n v="53"/>
    <x v="4"/>
    <n v="1034"/>
    <s v="Yes"/>
    <n v="1048"/>
  </r>
  <r>
    <n v="277"/>
    <n v="36"/>
    <x v="4"/>
    <n v="1749"/>
    <s v="Yes"/>
    <n v="7423"/>
  </r>
  <r>
    <n v="278"/>
    <n v="71"/>
    <x v="2"/>
    <n v="2380"/>
    <s v="No"/>
    <n v="0"/>
  </r>
  <r>
    <n v="279"/>
    <n v="34"/>
    <x v="1"/>
    <n v="1217"/>
    <s v="No"/>
    <n v="0"/>
  </r>
  <r>
    <n v="280"/>
    <n v="37"/>
    <x v="4"/>
    <n v="2874"/>
    <s v="No"/>
    <n v="0"/>
  </r>
  <r>
    <n v="281"/>
    <n v="65"/>
    <x v="0"/>
    <n v="1893"/>
    <s v="Yes"/>
    <n v="14025"/>
  </r>
  <r>
    <n v="282"/>
    <n v="74"/>
    <x v="4"/>
    <n v="1771"/>
    <s v="Yes"/>
    <n v="12946"/>
  </r>
  <r>
    <n v="283"/>
    <n v="45"/>
    <x v="2"/>
    <n v="1252"/>
    <s v="No"/>
    <n v="0"/>
  </r>
  <r>
    <n v="284"/>
    <n v="62"/>
    <x v="0"/>
    <n v="2217"/>
    <s v="No"/>
    <n v="0"/>
  </r>
  <r>
    <n v="285"/>
    <n v="61"/>
    <x v="3"/>
    <n v="2433"/>
    <s v="Yes"/>
    <n v="2867"/>
  </r>
  <r>
    <n v="286"/>
    <n v="31"/>
    <x v="1"/>
    <n v="2342"/>
    <s v="No"/>
    <n v="0"/>
  </r>
  <r>
    <n v="287"/>
    <n v="32"/>
    <x v="1"/>
    <n v="1205"/>
    <s v="No"/>
    <n v="0"/>
  </r>
  <r>
    <n v="288"/>
    <n v="64"/>
    <x v="1"/>
    <n v="1014"/>
    <s v="No"/>
    <n v="0"/>
  </r>
  <r>
    <n v="289"/>
    <n v="62"/>
    <x v="0"/>
    <n v="949"/>
    <s v="No"/>
    <n v="0"/>
  </r>
  <r>
    <n v="290"/>
    <n v="35"/>
    <x v="3"/>
    <n v="2720"/>
    <s v="No"/>
    <n v="0"/>
  </r>
  <r>
    <n v="291"/>
    <n v="31"/>
    <x v="3"/>
    <n v="2478"/>
    <s v="No"/>
    <n v="0"/>
  </r>
  <r>
    <n v="292"/>
    <n v="59"/>
    <x v="4"/>
    <n v="1138"/>
    <s v="No"/>
    <n v="0"/>
  </r>
  <r>
    <n v="293"/>
    <n v="53"/>
    <x v="3"/>
    <n v="2585"/>
    <s v="No"/>
    <n v="0"/>
  </r>
  <r>
    <n v="294"/>
    <n v="25"/>
    <x v="2"/>
    <n v="940"/>
    <s v="No"/>
    <n v="0"/>
  </r>
  <r>
    <n v="295"/>
    <n v="29"/>
    <x v="4"/>
    <n v="2019"/>
    <s v="No"/>
    <n v="0"/>
  </r>
  <r>
    <n v="296"/>
    <n v="42"/>
    <x v="0"/>
    <n v="2311"/>
    <s v="No"/>
    <n v="0"/>
  </r>
  <r>
    <n v="297"/>
    <n v="64"/>
    <x v="0"/>
    <n v="1624"/>
    <s v="No"/>
    <n v="0"/>
  </r>
  <r>
    <n v="298"/>
    <n v="75"/>
    <x v="1"/>
    <n v="1490"/>
    <s v="No"/>
    <n v="0"/>
  </r>
  <r>
    <n v="299"/>
    <n v="36"/>
    <x v="0"/>
    <n v="2255"/>
    <s v="No"/>
    <n v="0"/>
  </r>
  <r>
    <n v="300"/>
    <n v="54"/>
    <x v="2"/>
    <n v="2945"/>
    <s v="No"/>
    <n v="0"/>
  </r>
  <r>
    <n v="301"/>
    <n v="28"/>
    <x v="4"/>
    <n v="2120"/>
    <s v="No"/>
    <n v="0"/>
  </r>
  <r>
    <n v="302"/>
    <n v="42"/>
    <x v="1"/>
    <n v="1495"/>
    <s v="No"/>
    <n v="0"/>
  </r>
  <r>
    <n v="303"/>
    <n v="65"/>
    <x v="2"/>
    <n v="2245"/>
    <s v="No"/>
    <n v="0"/>
  </r>
  <r>
    <n v="304"/>
    <n v="48"/>
    <x v="4"/>
    <n v="2983"/>
    <s v="No"/>
    <n v="0"/>
  </r>
  <r>
    <n v="305"/>
    <n v="75"/>
    <x v="1"/>
    <n v="821"/>
    <s v="No"/>
    <n v="0"/>
  </r>
  <r>
    <n v="306"/>
    <n v="49"/>
    <x v="3"/>
    <n v="2810"/>
    <s v="No"/>
    <n v="0"/>
  </r>
  <r>
    <n v="307"/>
    <n v="61"/>
    <x v="1"/>
    <n v="1500"/>
    <s v="No"/>
    <n v="0"/>
  </r>
  <r>
    <n v="308"/>
    <n v="42"/>
    <x v="4"/>
    <n v="1032"/>
    <s v="Yes"/>
    <n v="3432"/>
  </r>
  <r>
    <n v="309"/>
    <n v="50"/>
    <x v="0"/>
    <n v="883"/>
    <s v="No"/>
    <n v="0"/>
  </r>
  <r>
    <n v="310"/>
    <n v="26"/>
    <x v="4"/>
    <n v="2661"/>
    <s v="No"/>
    <n v="0"/>
  </r>
  <r>
    <n v="311"/>
    <n v="57"/>
    <x v="3"/>
    <n v="2053"/>
    <s v="No"/>
    <n v="0"/>
  </r>
  <r>
    <n v="312"/>
    <n v="63"/>
    <x v="2"/>
    <n v="2763"/>
    <s v="No"/>
    <n v="0"/>
  </r>
  <r>
    <n v="313"/>
    <n v="38"/>
    <x v="2"/>
    <n v="2821"/>
    <s v="No"/>
    <n v="0"/>
  </r>
  <r>
    <n v="314"/>
    <n v="74"/>
    <x v="0"/>
    <n v="2471"/>
    <s v="Yes"/>
    <n v="6102"/>
  </r>
  <r>
    <n v="315"/>
    <n v="32"/>
    <x v="0"/>
    <n v="1263"/>
    <s v="No"/>
    <n v="0"/>
  </r>
  <r>
    <n v="316"/>
    <n v="76"/>
    <x v="3"/>
    <n v="1297"/>
    <s v="No"/>
    <n v="0"/>
  </r>
  <r>
    <n v="317"/>
    <n v="22"/>
    <x v="1"/>
    <n v="2704"/>
    <s v="No"/>
    <n v="0"/>
  </r>
  <r>
    <n v="318"/>
    <n v="59"/>
    <x v="4"/>
    <n v="2858"/>
    <s v="No"/>
    <n v="0"/>
  </r>
  <r>
    <n v="319"/>
    <n v="42"/>
    <x v="0"/>
    <n v="1550"/>
    <s v="No"/>
    <n v="0"/>
  </r>
  <r>
    <n v="320"/>
    <n v="20"/>
    <x v="2"/>
    <n v="1277"/>
    <s v="No"/>
    <n v="0"/>
  </r>
  <r>
    <n v="321"/>
    <n v="23"/>
    <x v="1"/>
    <n v="1340"/>
    <s v="Yes"/>
    <n v="2584"/>
  </r>
  <r>
    <n v="322"/>
    <n v="38"/>
    <x v="4"/>
    <n v="851"/>
    <s v="No"/>
    <n v="0"/>
  </r>
  <r>
    <n v="323"/>
    <n v="55"/>
    <x v="0"/>
    <n v="1541"/>
    <s v="No"/>
    <n v="0"/>
  </r>
  <r>
    <n v="324"/>
    <n v="31"/>
    <x v="3"/>
    <n v="2558"/>
    <s v="No"/>
    <n v="0"/>
  </r>
  <r>
    <n v="325"/>
    <n v="68"/>
    <x v="4"/>
    <n v="2861"/>
    <s v="No"/>
    <n v="0"/>
  </r>
  <r>
    <n v="326"/>
    <n v="34"/>
    <x v="1"/>
    <n v="2581"/>
    <s v="No"/>
    <n v="0"/>
  </r>
  <r>
    <n v="327"/>
    <n v="36"/>
    <x v="3"/>
    <n v="2622"/>
    <s v="No"/>
    <n v="0"/>
  </r>
  <r>
    <n v="328"/>
    <n v="79"/>
    <x v="1"/>
    <n v="1596"/>
    <s v="No"/>
    <n v="0"/>
  </r>
  <r>
    <n v="329"/>
    <n v="79"/>
    <x v="0"/>
    <n v="2542"/>
    <s v="No"/>
    <n v="0"/>
  </r>
  <r>
    <n v="330"/>
    <n v="55"/>
    <x v="2"/>
    <n v="1678"/>
    <s v="No"/>
    <n v="0"/>
  </r>
  <r>
    <n v="331"/>
    <n v="63"/>
    <x v="1"/>
    <n v="3000"/>
    <s v="No"/>
    <n v="0"/>
  </r>
  <r>
    <n v="332"/>
    <n v="43"/>
    <x v="4"/>
    <n v="2000"/>
    <s v="No"/>
    <n v="0"/>
  </r>
  <r>
    <n v="333"/>
    <n v="41"/>
    <x v="2"/>
    <n v="2330"/>
    <s v="No"/>
    <n v="0"/>
  </r>
  <r>
    <n v="334"/>
    <n v="58"/>
    <x v="0"/>
    <n v="1639"/>
    <s v="No"/>
    <n v="0"/>
  </r>
  <r>
    <n v="335"/>
    <n v="32"/>
    <x v="4"/>
    <n v="2899"/>
    <s v="No"/>
    <n v="0"/>
  </r>
  <r>
    <n v="336"/>
    <n v="65"/>
    <x v="1"/>
    <n v="1275"/>
    <s v="No"/>
    <n v="0"/>
  </r>
  <r>
    <n v="337"/>
    <n v="77"/>
    <x v="4"/>
    <n v="1553"/>
    <s v="No"/>
    <n v="0"/>
  </r>
  <r>
    <n v="338"/>
    <n v="63"/>
    <x v="4"/>
    <n v="2388"/>
    <s v="Yes"/>
    <n v="10967"/>
  </r>
  <r>
    <n v="339"/>
    <n v="34"/>
    <x v="3"/>
    <n v="2123"/>
    <s v="No"/>
    <n v="0"/>
  </r>
  <r>
    <n v="340"/>
    <n v="20"/>
    <x v="2"/>
    <n v="2323"/>
    <s v="No"/>
    <n v="0"/>
  </r>
  <r>
    <n v="341"/>
    <n v="27"/>
    <x v="3"/>
    <n v="1051"/>
    <s v="No"/>
    <n v="0"/>
  </r>
  <r>
    <n v="342"/>
    <n v="61"/>
    <x v="0"/>
    <n v="826"/>
    <s v="No"/>
    <n v="0"/>
  </r>
  <r>
    <n v="343"/>
    <n v="40"/>
    <x v="3"/>
    <n v="981"/>
    <s v="No"/>
    <n v="0"/>
  </r>
  <r>
    <n v="344"/>
    <n v="62"/>
    <x v="0"/>
    <n v="2595"/>
    <s v="No"/>
    <n v="0"/>
  </r>
  <r>
    <n v="345"/>
    <n v="30"/>
    <x v="3"/>
    <n v="2778"/>
    <s v="No"/>
    <n v="0"/>
  </r>
  <r>
    <n v="346"/>
    <n v="56"/>
    <x v="3"/>
    <n v="2929"/>
    <s v="No"/>
    <n v="0"/>
  </r>
  <r>
    <n v="347"/>
    <n v="68"/>
    <x v="4"/>
    <n v="2545"/>
    <s v="No"/>
    <n v="0"/>
  </r>
  <r>
    <n v="348"/>
    <n v="74"/>
    <x v="1"/>
    <n v="2919"/>
    <s v="No"/>
    <n v="0"/>
  </r>
  <r>
    <n v="349"/>
    <n v="33"/>
    <x v="1"/>
    <n v="1753"/>
    <s v="Yes"/>
    <n v="14806"/>
  </r>
  <r>
    <n v="350"/>
    <n v="67"/>
    <x v="0"/>
    <n v="1919"/>
    <s v="No"/>
    <n v="0"/>
  </r>
  <r>
    <n v="351"/>
    <n v="74"/>
    <x v="3"/>
    <n v="1399"/>
    <s v="No"/>
    <n v="0"/>
  </r>
  <r>
    <n v="352"/>
    <n v="64"/>
    <x v="4"/>
    <n v="1993"/>
    <s v="No"/>
    <n v="0"/>
  </r>
  <r>
    <n v="353"/>
    <n v="35"/>
    <x v="3"/>
    <n v="1451"/>
    <s v="No"/>
    <n v="0"/>
  </r>
  <r>
    <n v="354"/>
    <n v="70"/>
    <x v="3"/>
    <n v="1490"/>
    <s v="Yes"/>
    <n v="9310"/>
  </r>
  <r>
    <n v="355"/>
    <n v="36"/>
    <x v="2"/>
    <n v="2939"/>
    <s v="No"/>
    <n v="0"/>
  </r>
  <r>
    <n v="356"/>
    <n v="28"/>
    <x v="2"/>
    <n v="2350"/>
    <s v="No"/>
    <n v="0"/>
  </r>
  <r>
    <n v="357"/>
    <n v="52"/>
    <x v="3"/>
    <n v="1350"/>
    <s v="No"/>
    <n v="0"/>
  </r>
  <r>
    <n v="358"/>
    <n v="25"/>
    <x v="2"/>
    <n v="1104"/>
    <s v="No"/>
    <n v="0"/>
  </r>
  <r>
    <n v="359"/>
    <n v="20"/>
    <x v="4"/>
    <n v="905"/>
    <s v="No"/>
    <n v="0"/>
  </r>
  <r>
    <n v="360"/>
    <n v="31"/>
    <x v="2"/>
    <n v="1178"/>
    <s v="No"/>
    <n v="0"/>
  </r>
  <r>
    <n v="361"/>
    <n v="47"/>
    <x v="4"/>
    <n v="1750"/>
    <s v="No"/>
    <n v="0"/>
  </r>
  <r>
    <n v="362"/>
    <n v="25"/>
    <x v="2"/>
    <n v="2251"/>
    <s v="No"/>
    <n v="0"/>
  </r>
  <r>
    <n v="363"/>
    <n v="21"/>
    <x v="3"/>
    <n v="974"/>
    <s v="No"/>
    <n v="0"/>
  </r>
  <r>
    <n v="364"/>
    <n v="47"/>
    <x v="2"/>
    <n v="1361"/>
    <s v="No"/>
    <n v="0"/>
  </r>
  <r>
    <n v="365"/>
    <n v="65"/>
    <x v="4"/>
    <n v="2218"/>
    <s v="Yes"/>
    <n v="19880"/>
  </r>
  <r>
    <n v="366"/>
    <n v="34"/>
    <x v="4"/>
    <n v="2849"/>
    <s v="No"/>
    <n v="0"/>
  </r>
  <r>
    <n v="367"/>
    <n v="34"/>
    <x v="2"/>
    <n v="986"/>
    <s v="No"/>
    <n v="0"/>
  </r>
  <r>
    <n v="368"/>
    <n v="38"/>
    <x v="0"/>
    <n v="2996"/>
    <s v="No"/>
    <n v="0"/>
  </r>
  <r>
    <n v="369"/>
    <n v="74"/>
    <x v="2"/>
    <n v="2300"/>
    <s v="Yes"/>
    <n v="6129"/>
  </r>
  <r>
    <n v="370"/>
    <n v="77"/>
    <x v="0"/>
    <n v="2478"/>
    <s v="No"/>
    <n v="0"/>
  </r>
  <r>
    <n v="371"/>
    <n v="20"/>
    <x v="2"/>
    <n v="1341"/>
    <s v="No"/>
    <n v="0"/>
  </r>
  <r>
    <n v="372"/>
    <n v="75"/>
    <x v="3"/>
    <n v="2967"/>
    <s v="Yes"/>
    <n v="17723"/>
  </r>
  <r>
    <n v="373"/>
    <n v="35"/>
    <x v="0"/>
    <n v="1842"/>
    <s v="No"/>
    <n v="0"/>
  </r>
  <r>
    <n v="374"/>
    <n v="25"/>
    <x v="3"/>
    <n v="874"/>
    <s v="No"/>
    <n v="0"/>
  </r>
  <r>
    <n v="375"/>
    <n v="24"/>
    <x v="3"/>
    <n v="1782"/>
    <s v="Yes"/>
    <n v="2077"/>
  </r>
  <r>
    <n v="376"/>
    <n v="27"/>
    <x v="0"/>
    <n v="2790"/>
    <s v="No"/>
    <n v="0"/>
  </r>
  <r>
    <n v="377"/>
    <n v="44"/>
    <x v="2"/>
    <n v="1551"/>
    <s v="No"/>
    <n v="0"/>
  </r>
  <r>
    <n v="378"/>
    <n v="48"/>
    <x v="3"/>
    <n v="2045"/>
    <s v="No"/>
    <n v="0"/>
  </r>
  <r>
    <n v="379"/>
    <n v="52"/>
    <x v="2"/>
    <n v="1701"/>
    <s v="No"/>
    <n v="0"/>
  </r>
  <r>
    <n v="380"/>
    <n v="39"/>
    <x v="4"/>
    <n v="2567"/>
    <s v="No"/>
    <n v="0"/>
  </r>
  <r>
    <n v="381"/>
    <n v="46"/>
    <x v="3"/>
    <n v="1837"/>
    <s v="No"/>
    <n v="0"/>
  </r>
  <r>
    <n v="382"/>
    <n v="54"/>
    <x v="4"/>
    <n v="2179"/>
    <s v="No"/>
    <n v="0"/>
  </r>
  <r>
    <n v="383"/>
    <n v="58"/>
    <x v="0"/>
    <n v="2246"/>
    <s v="No"/>
    <n v="0"/>
  </r>
  <r>
    <n v="384"/>
    <n v="51"/>
    <x v="3"/>
    <n v="1330"/>
    <s v="No"/>
    <n v="0"/>
  </r>
  <r>
    <n v="385"/>
    <n v="55"/>
    <x v="4"/>
    <n v="2649"/>
    <s v="Yes"/>
    <n v="2134"/>
  </r>
  <r>
    <n v="386"/>
    <n v="57"/>
    <x v="2"/>
    <n v="2562"/>
    <s v="No"/>
    <n v="0"/>
  </r>
  <r>
    <n v="387"/>
    <n v="35"/>
    <x v="4"/>
    <n v="1471"/>
    <s v="No"/>
    <n v="0"/>
  </r>
  <r>
    <n v="388"/>
    <n v="66"/>
    <x v="4"/>
    <n v="2419"/>
    <s v="No"/>
    <n v="0"/>
  </r>
  <r>
    <n v="389"/>
    <n v="25"/>
    <x v="2"/>
    <n v="2815"/>
    <s v="No"/>
    <n v="0"/>
  </r>
  <r>
    <n v="390"/>
    <n v="28"/>
    <x v="3"/>
    <n v="1540"/>
    <s v="No"/>
    <n v="0"/>
  </r>
  <r>
    <n v="391"/>
    <n v="23"/>
    <x v="1"/>
    <n v="2473"/>
    <s v="Yes"/>
    <n v="19942"/>
  </r>
  <r>
    <n v="392"/>
    <n v="31"/>
    <x v="4"/>
    <n v="834"/>
    <s v="Yes"/>
    <n v="10626"/>
  </r>
  <r>
    <n v="393"/>
    <n v="73"/>
    <x v="0"/>
    <n v="1928"/>
    <s v="No"/>
    <n v="0"/>
  </r>
  <r>
    <n v="394"/>
    <n v="43"/>
    <x v="4"/>
    <n v="2789"/>
    <s v="No"/>
    <n v="0"/>
  </r>
  <r>
    <n v="395"/>
    <n v="41"/>
    <x v="4"/>
    <n v="1345"/>
    <s v="Yes"/>
    <n v="19331"/>
  </r>
  <r>
    <n v="396"/>
    <n v="39"/>
    <x v="3"/>
    <n v="833"/>
    <s v="Yes"/>
    <n v="16769"/>
  </r>
  <r>
    <n v="397"/>
    <n v="65"/>
    <x v="0"/>
    <n v="1776"/>
    <s v="No"/>
    <n v="0"/>
  </r>
  <r>
    <n v="398"/>
    <n v="44"/>
    <x v="4"/>
    <n v="2161"/>
    <s v="No"/>
    <n v="0"/>
  </r>
  <r>
    <n v="399"/>
    <n v="37"/>
    <x v="2"/>
    <n v="2468"/>
    <s v="Yes"/>
    <n v="15890"/>
  </r>
  <r>
    <n v="400"/>
    <n v="53"/>
    <x v="2"/>
    <n v="1423"/>
    <s v="No"/>
    <n v="0"/>
  </r>
  <r>
    <n v="401"/>
    <n v="37"/>
    <x v="2"/>
    <n v="1069"/>
    <s v="Yes"/>
    <n v="19717"/>
  </r>
  <r>
    <n v="402"/>
    <n v="59"/>
    <x v="0"/>
    <n v="1420"/>
    <s v="No"/>
    <n v="0"/>
  </r>
  <r>
    <n v="403"/>
    <n v="79"/>
    <x v="2"/>
    <n v="1933"/>
    <s v="No"/>
    <n v="0"/>
  </r>
  <r>
    <n v="404"/>
    <n v="59"/>
    <x v="2"/>
    <n v="1074"/>
    <s v="No"/>
    <n v="0"/>
  </r>
  <r>
    <n v="405"/>
    <n v="50"/>
    <x v="2"/>
    <n v="1790"/>
    <s v="No"/>
    <n v="0"/>
  </r>
  <r>
    <n v="406"/>
    <n v="38"/>
    <x v="3"/>
    <n v="1799"/>
    <s v="No"/>
    <n v="0"/>
  </r>
  <r>
    <n v="407"/>
    <n v="78"/>
    <x v="1"/>
    <n v="2690"/>
    <s v="No"/>
    <n v="0"/>
  </r>
  <r>
    <n v="408"/>
    <n v="59"/>
    <x v="0"/>
    <n v="2946"/>
    <s v="Yes"/>
    <n v="3530"/>
  </r>
  <r>
    <n v="409"/>
    <n v="58"/>
    <x v="2"/>
    <n v="1446"/>
    <s v="No"/>
    <n v="0"/>
  </r>
  <r>
    <n v="410"/>
    <n v="41"/>
    <x v="1"/>
    <n v="2128"/>
    <s v="No"/>
    <n v="0"/>
  </r>
  <r>
    <n v="411"/>
    <n v="54"/>
    <x v="3"/>
    <n v="2650"/>
    <s v="No"/>
    <n v="0"/>
  </r>
  <r>
    <n v="412"/>
    <n v="44"/>
    <x v="3"/>
    <n v="2119"/>
    <s v="No"/>
    <n v="0"/>
  </r>
  <r>
    <n v="413"/>
    <n v="30"/>
    <x v="2"/>
    <n v="855"/>
    <s v="No"/>
    <n v="0"/>
  </r>
  <r>
    <n v="414"/>
    <n v="42"/>
    <x v="1"/>
    <n v="1254"/>
    <s v="No"/>
    <n v="0"/>
  </r>
  <r>
    <n v="415"/>
    <n v="18"/>
    <x v="0"/>
    <n v="2650"/>
    <s v="No"/>
    <n v="0"/>
  </r>
  <r>
    <n v="416"/>
    <n v="54"/>
    <x v="2"/>
    <n v="1841"/>
    <s v="No"/>
    <n v="0"/>
  </r>
  <r>
    <n v="417"/>
    <n v="40"/>
    <x v="0"/>
    <n v="832"/>
    <s v="No"/>
    <n v="0"/>
  </r>
  <r>
    <n v="418"/>
    <n v="34"/>
    <x v="3"/>
    <n v="1163"/>
    <s v="No"/>
    <n v="0"/>
  </r>
  <r>
    <n v="419"/>
    <n v="67"/>
    <x v="2"/>
    <n v="933"/>
    <s v="No"/>
    <n v="0"/>
  </r>
  <r>
    <n v="420"/>
    <n v="72"/>
    <x v="1"/>
    <n v="2804"/>
    <s v="No"/>
    <n v="0"/>
  </r>
  <r>
    <n v="421"/>
    <n v="58"/>
    <x v="2"/>
    <n v="2361"/>
    <s v="No"/>
    <n v="0"/>
  </r>
  <r>
    <n v="422"/>
    <n v="24"/>
    <x v="0"/>
    <n v="2348"/>
    <s v="No"/>
    <n v="0"/>
  </r>
  <r>
    <n v="423"/>
    <n v="31"/>
    <x v="0"/>
    <n v="1230"/>
    <s v="No"/>
    <n v="0"/>
  </r>
  <r>
    <n v="424"/>
    <n v="68"/>
    <x v="3"/>
    <n v="1625"/>
    <s v="No"/>
    <n v="0"/>
  </r>
  <r>
    <n v="425"/>
    <n v="66"/>
    <x v="3"/>
    <n v="2879"/>
    <s v="No"/>
    <n v="0"/>
  </r>
  <r>
    <n v="426"/>
    <n v="19"/>
    <x v="0"/>
    <n v="2659"/>
    <s v="Yes"/>
    <n v="12591"/>
  </r>
  <r>
    <n v="427"/>
    <n v="24"/>
    <x v="0"/>
    <n v="2607"/>
    <s v="No"/>
    <n v="0"/>
  </r>
  <r>
    <n v="428"/>
    <n v="58"/>
    <x v="1"/>
    <n v="1460"/>
    <s v="Yes"/>
    <n v="15815"/>
  </r>
  <r>
    <n v="429"/>
    <n v="71"/>
    <x v="1"/>
    <n v="2734"/>
    <s v="No"/>
    <n v="0"/>
  </r>
  <r>
    <n v="430"/>
    <n v="62"/>
    <x v="2"/>
    <n v="1358"/>
    <s v="No"/>
    <n v="0"/>
  </r>
  <r>
    <n v="431"/>
    <n v="39"/>
    <x v="3"/>
    <n v="1061"/>
    <s v="No"/>
    <n v="0"/>
  </r>
  <r>
    <n v="432"/>
    <n v="33"/>
    <x v="4"/>
    <n v="2229"/>
    <s v="No"/>
    <n v="0"/>
  </r>
  <r>
    <n v="433"/>
    <n v="32"/>
    <x v="3"/>
    <n v="2878"/>
    <s v="Yes"/>
    <n v="15631"/>
  </r>
  <r>
    <n v="434"/>
    <n v="34"/>
    <x v="0"/>
    <n v="2582"/>
    <s v="No"/>
    <n v="0"/>
  </r>
  <r>
    <n v="435"/>
    <n v="79"/>
    <x v="0"/>
    <n v="1514"/>
    <s v="No"/>
    <n v="0"/>
  </r>
  <r>
    <n v="436"/>
    <n v="66"/>
    <x v="2"/>
    <n v="2346"/>
    <s v="No"/>
    <n v="0"/>
  </r>
  <r>
    <n v="437"/>
    <n v="41"/>
    <x v="3"/>
    <n v="1663"/>
    <s v="No"/>
    <n v="0"/>
  </r>
  <r>
    <n v="438"/>
    <n v="19"/>
    <x v="2"/>
    <n v="914"/>
    <s v="No"/>
    <n v="0"/>
  </r>
  <r>
    <n v="439"/>
    <n v="63"/>
    <x v="0"/>
    <n v="2468"/>
    <s v="No"/>
    <n v="0"/>
  </r>
  <r>
    <n v="440"/>
    <n v="68"/>
    <x v="4"/>
    <n v="2130"/>
    <s v="No"/>
    <n v="0"/>
  </r>
  <r>
    <n v="441"/>
    <n v="63"/>
    <x v="3"/>
    <n v="1592"/>
    <s v="No"/>
    <n v="0"/>
  </r>
  <r>
    <n v="442"/>
    <n v="50"/>
    <x v="3"/>
    <n v="1793"/>
    <s v="No"/>
    <n v="0"/>
  </r>
  <r>
    <n v="443"/>
    <n v="54"/>
    <x v="2"/>
    <n v="1380"/>
    <s v="No"/>
    <n v="0"/>
  </r>
  <r>
    <n v="444"/>
    <n v="33"/>
    <x v="3"/>
    <n v="1543"/>
    <s v="No"/>
    <n v="0"/>
  </r>
  <r>
    <n v="445"/>
    <n v="39"/>
    <x v="0"/>
    <n v="2771"/>
    <s v="No"/>
    <n v="0"/>
  </r>
  <r>
    <n v="446"/>
    <n v="71"/>
    <x v="4"/>
    <n v="1800"/>
    <s v="No"/>
    <n v="0"/>
  </r>
  <r>
    <n v="447"/>
    <n v="29"/>
    <x v="0"/>
    <n v="1236"/>
    <s v="No"/>
    <n v="0"/>
  </r>
  <r>
    <n v="448"/>
    <n v="42"/>
    <x v="0"/>
    <n v="2176"/>
    <s v="No"/>
    <n v="0"/>
  </r>
  <r>
    <n v="449"/>
    <n v="36"/>
    <x v="1"/>
    <n v="2953"/>
    <s v="No"/>
    <n v="0"/>
  </r>
  <r>
    <n v="450"/>
    <n v="71"/>
    <x v="1"/>
    <n v="1772"/>
    <s v="No"/>
    <n v="0"/>
  </r>
  <r>
    <n v="451"/>
    <n v="70"/>
    <x v="0"/>
    <n v="2633"/>
    <s v="No"/>
    <n v="0"/>
  </r>
  <r>
    <n v="452"/>
    <n v="24"/>
    <x v="1"/>
    <n v="1942"/>
    <s v="No"/>
    <n v="0"/>
  </r>
  <r>
    <n v="453"/>
    <n v="41"/>
    <x v="2"/>
    <n v="1961"/>
    <s v="Yes"/>
    <n v="12219"/>
  </r>
  <r>
    <n v="454"/>
    <n v="43"/>
    <x v="4"/>
    <n v="1002"/>
    <s v="Yes"/>
    <n v="7137"/>
  </r>
  <r>
    <n v="455"/>
    <n v="33"/>
    <x v="3"/>
    <n v="2611"/>
    <s v="No"/>
    <n v="0"/>
  </r>
  <r>
    <n v="456"/>
    <n v="58"/>
    <x v="4"/>
    <n v="2238"/>
    <s v="No"/>
    <n v="0"/>
  </r>
  <r>
    <n v="457"/>
    <n v="30"/>
    <x v="2"/>
    <n v="1059"/>
    <s v="No"/>
    <n v="0"/>
  </r>
  <r>
    <n v="458"/>
    <n v="35"/>
    <x v="0"/>
    <n v="1889"/>
    <s v="No"/>
    <n v="0"/>
  </r>
  <r>
    <n v="459"/>
    <n v="51"/>
    <x v="3"/>
    <n v="878"/>
    <s v="No"/>
    <n v="0"/>
  </r>
  <r>
    <n v="460"/>
    <n v="75"/>
    <x v="3"/>
    <n v="2546"/>
    <s v="Yes"/>
    <n v="15752"/>
  </r>
  <r>
    <n v="461"/>
    <n v="55"/>
    <x v="0"/>
    <n v="1205"/>
    <s v="No"/>
    <n v="0"/>
  </r>
  <r>
    <n v="462"/>
    <n v="63"/>
    <x v="0"/>
    <n v="2859"/>
    <s v="No"/>
    <n v="0"/>
  </r>
  <r>
    <n v="463"/>
    <n v="60"/>
    <x v="1"/>
    <n v="875"/>
    <s v="No"/>
    <n v="0"/>
  </r>
  <r>
    <n v="464"/>
    <n v="28"/>
    <x v="2"/>
    <n v="2758"/>
    <s v="No"/>
    <n v="0"/>
  </r>
  <r>
    <n v="465"/>
    <n v="40"/>
    <x v="3"/>
    <n v="1556"/>
    <s v="No"/>
    <n v="0"/>
  </r>
  <r>
    <n v="466"/>
    <n v="25"/>
    <x v="2"/>
    <n v="1367"/>
    <s v="No"/>
    <n v="0"/>
  </r>
  <r>
    <n v="467"/>
    <n v="44"/>
    <x v="1"/>
    <n v="2750"/>
    <s v="No"/>
    <n v="0"/>
  </r>
  <r>
    <n v="468"/>
    <n v="78"/>
    <x v="4"/>
    <n v="1984"/>
    <s v="No"/>
    <n v="0"/>
  </r>
  <r>
    <n v="469"/>
    <n v="71"/>
    <x v="1"/>
    <n v="844"/>
    <s v="Yes"/>
    <n v="3405"/>
  </r>
  <r>
    <n v="470"/>
    <n v="37"/>
    <x v="2"/>
    <n v="1093"/>
    <s v="No"/>
    <n v="0"/>
  </r>
  <r>
    <n v="471"/>
    <n v="62"/>
    <x v="4"/>
    <n v="820"/>
    <s v="No"/>
    <n v="0"/>
  </r>
  <r>
    <n v="472"/>
    <n v="61"/>
    <x v="1"/>
    <n v="2109"/>
    <s v="No"/>
    <n v="0"/>
  </r>
  <r>
    <n v="473"/>
    <n v="45"/>
    <x v="2"/>
    <n v="1294"/>
    <s v="No"/>
    <n v="0"/>
  </r>
  <r>
    <n v="474"/>
    <n v="62"/>
    <x v="1"/>
    <n v="1832"/>
    <s v="Yes"/>
    <n v="11231"/>
  </r>
  <r>
    <n v="475"/>
    <n v="21"/>
    <x v="3"/>
    <n v="1555"/>
    <s v="No"/>
    <n v="0"/>
  </r>
  <r>
    <n v="476"/>
    <n v="56"/>
    <x v="3"/>
    <n v="1399"/>
    <s v="No"/>
    <n v="0"/>
  </r>
  <r>
    <n v="477"/>
    <n v="26"/>
    <x v="0"/>
    <n v="1434"/>
    <s v="No"/>
    <n v="0"/>
  </r>
  <r>
    <n v="478"/>
    <n v="22"/>
    <x v="3"/>
    <n v="2806"/>
    <s v="No"/>
    <n v="0"/>
  </r>
  <r>
    <n v="479"/>
    <n v="62"/>
    <x v="4"/>
    <n v="2092"/>
    <s v="No"/>
    <n v="0"/>
  </r>
  <r>
    <n v="480"/>
    <n v="72"/>
    <x v="3"/>
    <n v="1286"/>
    <s v="No"/>
    <n v="0"/>
  </r>
  <r>
    <n v="481"/>
    <n v="32"/>
    <x v="1"/>
    <n v="1287"/>
    <s v="No"/>
    <n v="0"/>
  </r>
  <r>
    <n v="482"/>
    <n v="78"/>
    <x v="1"/>
    <n v="2708"/>
    <s v="Yes"/>
    <n v="19869"/>
  </r>
  <r>
    <n v="483"/>
    <n v="38"/>
    <x v="0"/>
    <n v="2989"/>
    <s v="No"/>
    <n v="0"/>
  </r>
  <r>
    <n v="484"/>
    <n v="73"/>
    <x v="1"/>
    <n v="1134"/>
    <s v="Yes"/>
    <n v="4991"/>
  </r>
  <r>
    <n v="485"/>
    <n v="44"/>
    <x v="2"/>
    <n v="2348"/>
    <s v="No"/>
    <n v="0"/>
  </r>
  <r>
    <n v="486"/>
    <n v="25"/>
    <x v="3"/>
    <n v="953"/>
    <s v="No"/>
    <n v="0"/>
  </r>
  <r>
    <n v="487"/>
    <n v="48"/>
    <x v="3"/>
    <n v="1751"/>
    <s v="No"/>
    <n v="0"/>
  </r>
  <r>
    <n v="488"/>
    <n v="35"/>
    <x v="2"/>
    <n v="1217"/>
    <s v="No"/>
    <n v="0"/>
  </r>
  <r>
    <n v="489"/>
    <n v="24"/>
    <x v="1"/>
    <n v="2707"/>
    <s v="No"/>
    <n v="0"/>
  </r>
  <r>
    <n v="490"/>
    <n v="59"/>
    <x v="1"/>
    <n v="2027"/>
    <s v="No"/>
    <n v="0"/>
  </r>
  <r>
    <n v="491"/>
    <n v="77"/>
    <x v="1"/>
    <n v="1282"/>
    <s v="No"/>
    <n v="0"/>
  </r>
  <r>
    <n v="492"/>
    <n v="71"/>
    <x v="1"/>
    <n v="2166"/>
    <s v="No"/>
    <n v="0"/>
  </r>
  <r>
    <n v="493"/>
    <n v="30"/>
    <x v="1"/>
    <n v="1445"/>
    <s v="No"/>
    <n v="0"/>
  </r>
  <r>
    <n v="494"/>
    <n v="33"/>
    <x v="2"/>
    <n v="1993"/>
    <s v="No"/>
    <n v="0"/>
  </r>
  <r>
    <n v="495"/>
    <n v="69"/>
    <x v="4"/>
    <n v="2782"/>
    <s v="No"/>
    <n v="0"/>
  </r>
  <r>
    <n v="496"/>
    <n v="64"/>
    <x v="2"/>
    <n v="1525"/>
    <s v="No"/>
    <n v="0"/>
  </r>
  <r>
    <n v="497"/>
    <n v="48"/>
    <x v="1"/>
    <n v="2289"/>
    <s v="No"/>
    <n v="0"/>
  </r>
  <r>
    <n v="498"/>
    <n v="41"/>
    <x v="1"/>
    <n v="2279"/>
    <s v="No"/>
    <n v="0"/>
  </r>
  <r>
    <n v="499"/>
    <n v="18"/>
    <x v="3"/>
    <n v="2020"/>
    <s v="No"/>
    <n v="0"/>
  </r>
  <r>
    <n v="500"/>
    <n v="36"/>
    <x v="2"/>
    <n v="2964"/>
    <s v="No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n v="56"/>
    <s v="KY"/>
    <n v="1640"/>
    <s v="No"/>
    <n v="0"/>
    <x v="0"/>
  </r>
  <r>
    <n v="2"/>
    <n v="66"/>
    <s v="KY"/>
    <n v="1632"/>
    <s v="No"/>
    <n v="0"/>
    <x v="0"/>
  </r>
  <r>
    <n v="3"/>
    <n v="56"/>
    <s v="KY"/>
    <n v="1770"/>
    <s v="Yes"/>
    <n v="12490"/>
    <x v="0"/>
  </r>
  <r>
    <n v="4"/>
    <n v="77"/>
    <s v="PA"/>
    <n v="2922"/>
    <s v="No"/>
    <n v="0"/>
    <x v="0"/>
  </r>
  <r>
    <n v="5"/>
    <n v="23"/>
    <s v="OH"/>
    <n v="2026"/>
    <s v="No"/>
    <n v="0"/>
    <x v="1"/>
  </r>
  <r>
    <n v="6"/>
    <n v="72"/>
    <s v="OH"/>
    <n v="2804"/>
    <s v="No"/>
    <n v="0"/>
    <x v="0"/>
  </r>
  <r>
    <n v="7"/>
    <n v="19"/>
    <s v="OH"/>
    <n v="2112"/>
    <s v="No"/>
    <n v="0"/>
    <x v="1"/>
  </r>
  <r>
    <n v="8"/>
    <n v="31"/>
    <s v="IN"/>
    <n v="1594"/>
    <s v="No"/>
    <n v="0"/>
    <x v="2"/>
  </r>
  <r>
    <n v="9"/>
    <n v="74"/>
    <s v="IN"/>
    <n v="2058"/>
    <s v="No"/>
    <n v="0"/>
    <x v="0"/>
  </r>
  <r>
    <n v="10"/>
    <n v="75"/>
    <s v="MI"/>
    <n v="2416"/>
    <s v="No"/>
    <n v="0"/>
    <x v="0"/>
  </r>
  <r>
    <n v="11"/>
    <n v="24"/>
    <s v="KY"/>
    <n v="944"/>
    <s v="No"/>
    <n v="0"/>
    <x v="1"/>
  </r>
  <r>
    <n v="12"/>
    <n v="25"/>
    <s v="KY"/>
    <n v="2949"/>
    <s v="No"/>
    <n v="0"/>
    <x v="1"/>
  </r>
  <r>
    <n v="13"/>
    <n v="35"/>
    <s v="OH"/>
    <n v="1987"/>
    <s v="Yes"/>
    <n v="6976"/>
    <x v="2"/>
  </r>
  <r>
    <n v="14"/>
    <n v="77"/>
    <s v="KY"/>
    <n v="895"/>
    <s v="No"/>
    <n v="0"/>
    <x v="0"/>
  </r>
  <r>
    <n v="15"/>
    <n v="44"/>
    <s v="KY"/>
    <n v="1216"/>
    <s v="No"/>
    <n v="0"/>
    <x v="2"/>
  </r>
  <r>
    <n v="16"/>
    <n v="67"/>
    <s v="OH"/>
    <n v="2227"/>
    <s v="Yes"/>
    <n v="17363"/>
    <x v="0"/>
  </r>
  <r>
    <n v="17"/>
    <n v="60"/>
    <s v="PA"/>
    <n v="833"/>
    <s v="No"/>
    <n v="0"/>
    <x v="0"/>
  </r>
  <r>
    <n v="18"/>
    <n v="32"/>
    <s v="MI"/>
    <n v="970"/>
    <s v="No"/>
    <n v="0"/>
    <x v="2"/>
  </r>
  <r>
    <n v="19"/>
    <n v="31"/>
    <s v="MI"/>
    <n v="1977"/>
    <s v="No"/>
    <n v="0"/>
    <x v="2"/>
  </r>
  <r>
    <n v="20"/>
    <n v="28"/>
    <s v="OH"/>
    <n v="865"/>
    <s v="No"/>
    <n v="0"/>
    <x v="1"/>
  </r>
  <r>
    <n v="21"/>
    <n v="31"/>
    <s v="MI"/>
    <n v="2705"/>
    <s v="No"/>
    <n v="0"/>
    <x v="2"/>
  </r>
  <r>
    <n v="22"/>
    <n v="62"/>
    <s v="MI"/>
    <n v="2403"/>
    <s v="No"/>
    <n v="0"/>
    <x v="0"/>
  </r>
  <r>
    <n v="23"/>
    <n v="28"/>
    <s v="MI"/>
    <n v="2872"/>
    <s v="Yes"/>
    <n v="15680"/>
    <x v="1"/>
  </r>
  <r>
    <n v="24"/>
    <n v="78"/>
    <s v="PA"/>
    <n v="2960"/>
    <s v="No"/>
    <n v="0"/>
    <x v="0"/>
  </r>
  <r>
    <n v="25"/>
    <n v="68"/>
    <s v="IN"/>
    <n v="1054"/>
    <s v="No"/>
    <n v="0"/>
    <x v="0"/>
  </r>
  <r>
    <n v="26"/>
    <n v="31"/>
    <s v="OH"/>
    <n v="1588"/>
    <s v="Yes"/>
    <n v="3879"/>
    <x v="2"/>
  </r>
  <r>
    <n v="27"/>
    <n v="46"/>
    <s v="MI"/>
    <n v="2506"/>
    <s v="No"/>
    <n v="0"/>
    <x v="2"/>
  </r>
  <r>
    <n v="28"/>
    <n v="52"/>
    <s v="IN"/>
    <n v="976"/>
    <s v="No"/>
    <n v="0"/>
    <x v="0"/>
  </r>
  <r>
    <n v="29"/>
    <n v="79"/>
    <s v="IN"/>
    <n v="2490"/>
    <s v="No"/>
    <n v="0"/>
    <x v="0"/>
  </r>
  <r>
    <n v="30"/>
    <n v="74"/>
    <s v="PA"/>
    <n v="1783"/>
    <s v="No"/>
    <n v="0"/>
    <x v="0"/>
  </r>
  <r>
    <n v="31"/>
    <n v="28"/>
    <s v="IN"/>
    <n v="1280"/>
    <s v="No"/>
    <n v="0"/>
    <x v="1"/>
  </r>
  <r>
    <n v="32"/>
    <n v="38"/>
    <s v="IN"/>
    <n v="2946"/>
    <s v="Yes"/>
    <n v="17631"/>
    <x v="2"/>
  </r>
  <r>
    <n v="33"/>
    <n v="20"/>
    <s v="MI"/>
    <n v="2653"/>
    <s v="No"/>
    <n v="0"/>
    <x v="1"/>
  </r>
  <r>
    <n v="34"/>
    <n v="63"/>
    <s v="OH"/>
    <n v="2742"/>
    <s v="No"/>
    <n v="0"/>
    <x v="0"/>
  </r>
  <r>
    <n v="35"/>
    <n v="55"/>
    <s v="MI"/>
    <n v="2894"/>
    <s v="No"/>
    <n v="0"/>
    <x v="0"/>
  </r>
  <r>
    <n v="36"/>
    <n v="39"/>
    <s v="KY"/>
    <n v="2895"/>
    <s v="No"/>
    <n v="0"/>
    <x v="2"/>
  </r>
  <r>
    <n v="37"/>
    <n v="78"/>
    <s v="KY"/>
    <n v="1815"/>
    <s v="No"/>
    <n v="0"/>
    <x v="0"/>
  </r>
  <r>
    <n v="38"/>
    <n v="40"/>
    <s v="KY"/>
    <n v="1919"/>
    <s v="No"/>
    <n v="0"/>
    <x v="2"/>
  </r>
  <r>
    <n v="39"/>
    <n v="36"/>
    <s v="MI"/>
    <n v="2979"/>
    <s v="No"/>
    <n v="0"/>
    <x v="2"/>
  </r>
  <r>
    <n v="40"/>
    <n v="41"/>
    <s v="OH"/>
    <n v="2072"/>
    <s v="No"/>
    <n v="0"/>
    <x v="2"/>
  </r>
  <r>
    <n v="41"/>
    <n v="57"/>
    <s v="PA"/>
    <n v="1294"/>
    <s v="No"/>
    <n v="0"/>
    <x v="0"/>
  </r>
  <r>
    <n v="42"/>
    <n v="78"/>
    <s v="MI"/>
    <n v="2365"/>
    <s v="No"/>
    <n v="0"/>
    <x v="0"/>
  </r>
  <r>
    <n v="43"/>
    <n v="32"/>
    <s v="MI"/>
    <n v="2613"/>
    <s v="No"/>
    <n v="0"/>
    <x v="2"/>
  </r>
  <r>
    <n v="44"/>
    <n v="38"/>
    <s v="MI"/>
    <n v="1075"/>
    <s v="No"/>
    <n v="0"/>
    <x v="2"/>
  </r>
  <r>
    <n v="45"/>
    <n v="62"/>
    <s v="OH"/>
    <n v="1527"/>
    <s v="No"/>
    <n v="0"/>
    <x v="0"/>
  </r>
  <r>
    <n v="46"/>
    <n v="46"/>
    <s v="OH"/>
    <n v="2551"/>
    <s v="No"/>
    <n v="0"/>
    <x v="2"/>
  </r>
  <r>
    <n v="47"/>
    <n v="38"/>
    <s v="OH"/>
    <n v="1236"/>
    <s v="No"/>
    <n v="0"/>
    <x v="2"/>
  </r>
  <r>
    <n v="48"/>
    <n v="68"/>
    <s v="OH"/>
    <n v="2547"/>
    <s v="No"/>
    <n v="0"/>
    <x v="0"/>
  </r>
  <r>
    <n v="49"/>
    <n v="64"/>
    <s v="KY"/>
    <n v="1381"/>
    <s v="No"/>
    <n v="0"/>
    <x v="0"/>
  </r>
  <r>
    <n v="50"/>
    <n v="33"/>
    <s v="MI"/>
    <n v="2011"/>
    <s v="No"/>
    <n v="0"/>
    <x v="2"/>
  </r>
  <r>
    <n v="51"/>
    <n v="41"/>
    <s v="MI"/>
    <n v="1797"/>
    <s v="No"/>
    <n v="0"/>
    <x v="2"/>
  </r>
  <r>
    <n v="52"/>
    <n v="62"/>
    <s v="IN"/>
    <n v="2369"/>
    <s v="No"/>
    <n v="0"/>
    <x v="0"/>
  </r>
  <r>
    <n v="53"/>
    <n v="56"/>
    <s v="IN"/>
    <n v="2447"/>
    <s v="No"/>
    <n v="0"/>
    <x v="0"/>
  </r>
  <r>
    <n v="54"/>
    <n v="62"/>
    <s v="MI"/>
    <n v="2254"/>
    <s v="No"/>
    <n v="0"/>
    <x v="0"/>
  </r>
  <r>
    <n v="55"/>
    <n v="26"/>
    <s v="KY"/>
    <n v="2752"/>
    <s v="No"/>
    <n v="0"/>
    <x v="1"/>
  </r>
  <r>
    <n v="56"/>
    <n v="23"/>
    <s v="IN"/>
    <n v="2749"/>
    <s v="No"/>
    <n v="0"/>
    <x v="1"/>
  </r>
  <r>
    <n v="57"/>
    <n v="64"/>
    <s v="PA"/>
    <n v="1829"/>
    <s v="No"/>
    <n v="0"/>
    <x v="0"/>
  </r>
  <r>
    <n v="58"/>
    <n v="71"/>
    <s v="IN"/>
    <n v="936"/>
    <s v="No"/>
    <n v="0"/>
    <x v="0"/>
  </r>
  <r>
    <n v="59"/>
    <n v="21"/>
    <s v="PA"/>
    <n v="2987"/>
    <s v="No"/>
    <n v="0"/>
    <x v="1"/>
  </r>
  <r>
    <n v="60"/>
    <n v="30"/>
    <s v="MI"/>
    <n v="1803"/>
    <s v="No"/>
    <n v="0"/>
    <x v="2"/>
  </r>
  <r>
    <n v="61"/>
    <n v="21"/>
    <s v="PA"/>
    <n v="1713"/>
    <s v="No"/>
    <n v="0"/>
    <x v="1"/>
  </r>
  <r>
    <n v="62"/>
    <n v="21"/>
    <s v="IN"/>
    <n v="2440"/>
    <s v="No"/>
    <n v="0"/>
    <x v="1"/>
  </r>
  <r>
    <n v="63"/>
    <n v="49"/>
    <s v="IN"/>
    <n v="2154"/>
    <s v="No"/>
    <n v="0"/>
    <x v="2"/>
  </r>
  <r>
    <n v="64"/>
    <n v="32"/>
    <s v="KY"/>
    <n v="832"/>
    <s v="No"/>
    <n v="0"/>
    <x v="2"/>
  </r>
  <r>
    <n v="65"/>
    <n v="74"/>
    <s v="IN"/>
    <n v="1919"/>
    <s v="No"/>
    <n v="0"/>
    <x v="0"/>
  </r>
  <r>
    <n v="66"/>
    <n v="49"/>
    <s v="OH"/>
    <n v="2009"/>
    <s v="No"/>
    <n v="0"/>
    <x v="2"/>
  </r>
  <r>
    <n v="67"/>
    <n v="60"/>
    <s v="IN"/>
    <n v="2193"/>
    <s v="No"/>
    <n v="0"/>
    <x v="0"/>
  </r>
  <r>
    <n v="68"/>
    <n v="52"/>
    <s v="IN"/>
    <n v="1503"/>
    <s v="No"/>
    <n v="0"/>
    <x v="0"/>
  </r>
  <r>
    <n v="69"/>
    <n v="46"/>
    <s v="PA"/>
    <n v="2109"/>
    <s v="No"/>
    <n v="0"/>
    <x v="2"/>
  </r>
  <r>
    <n v="70"/>
    <n v="24"/>
    <s v="IN"/>
    <n v="1285"/>
    <s v="No"/>
    <n v="0"/>
    <x v="1"/>
  </r>
  <r>
    <n v="71"/>
    <n v="68"/>
    <s v="KY"/>
    <n v="1564"/>
    <s v="No"/>
    <n v="0"/>
    <x v="0"/>
  </r>
  <r>
    <n v="72"/>
    <n v="63"/>
    <s v="KY"/>
    <n v="1483"/>
    <s v="No"/>
    <n v="0"/>
    <x v="0"/>
  </r>
  <r>
    <n v="73"/>
    <n v="68"/>
    <s v="IN"/>
    <n v="807"/>
    <s v="No"/>
    <n v="0"/>
    <x v="0"/>
  </r>
  <r>
    <n v="74"/>
    <n v="56"/>
    <s v="OH"/>
    <n v="2009"/>
    <s v="No"/>
    <n v="0"/>
    <x v="0"/>
  </r>
  <r>
    <n v="75"/>
    <n v="25"/>
    <s v="OH"/>
    <n v="2933"/>
    <s v="No"/>
    <n v="0"/>
    <x v="1"/>
  </r>
  <r>
    <n v="76"/>
    <n v="69"/>
    <s v="PA"/>
    <n v="1496"/>
    <s v="No"/>
    <n v="0"/>
    <x v="0"/>
  </r>
  <r>
    <n v="77"/>
    <n v="26"/>
    <s v="MI"/>
    <n v="1498"/>
    <s v="No"/>
    <n v="0"/>
    <x v="1"/>
  </r>
  <r>
    <n v="78"/>
    <n v="35"/>
    <s v="IN"/>
    <n v="1913"/>
    <s v="No"/>
    <n v="0"/>
    <x v="2"/>
  </r>
  <r>
    <n v="79"/>
    <n v="52"/>
    <s v="IN"/>
    <n v="1642"/>
    <s v="No"/>
    <n v="0"/>
    <x v="0"/>
  </r>
  <r>
    <n v="80"/>
    <n v="56"/>
    <s v="OH"/>
    <n v="907"/>
    <s v="No"/>
    <n v="0"/>
    <x v="0"/>
  </r>
  <r>
    <n v="81"/>
    <n v="35"/>
    <s v="PA"/>
    <n v="2177"/>
    <s v="No"/>
    <n v="0"/>
    <x v="2"/>
  </r>
  <r>
    <n v="82"/>
    <n v="68"/>
    <s v="MI"/>
    <n v="2238"/>
    <s v="No"/>
    <n v="0"/>
    <x v="0"/>
  </r>
  <r>
    <n v="83"/>
    <n v="20"/>
    <s v="IN"/>
    <n v="2785"/>
    <s v="No"/>
    <n v="0"/>
    <x v="1"/>
  </r>
  <r>
    <n v="84"/>
    <n v="28"/>
    <s v="OH"/>
    <n v="1850"/>
    <s v="No"/>
    <n v="0"/>
    <x v="1"/>
  </r>
  <r>
    <n v="85"/>
    <n v="73"/>
    <s v="KY"/>
    <n v="2547"/>
    <s v="No"/>
    <n v="0"/>
    <x v="0"/>
  </r>
  <r>
    <n v="86"/>
    <n v="30"/>
    <s v="KY"/>
    <n v="1093"/>
    <s v="No"/>
    <n v="0"/>
    <x v="2"/>
  </r>
  <r>
    <n v="87"/>
    <n v="78"/>
    <s v="OH"/>
    <n v="2651"/>
    <s v="No"/>
    <n v="0"/>
    <x v="0"/>
  </r>
  <r>
    <n v="88"/>
    <n v="46"/>
    <s v="MI"/>
    <n v="1203"/>
    <s v="No"/>
    <n v="0"/>
    <x v="2"/>
  </r>
  <r>
    <n v="89"/>
    <n v="72"/>
    <s v="MI"/>
    <n v="1674"/>
    <s v="No"/>
    <n v="0"/>
    <x v="0"/>
  </r>
  <r>
    <n v="90"/>
    <n v="62"/>
    <s v="IN"/>
    <n v="1756"/>
    <s v="No"/>
    <n v="0"/>
    <x v="0"/>
  </r>
  <r>
    <n v="91"/>
    <n v="23"/>
    <s v="MI"/>
    <n v="2322"/>
    <s v="No"/>
    <n v="0"/>
    <x v="1"/>
  </r>
  <r>
    <n v="92"/>
    <n v="55"/>
    <s v="PA"/>
    <n v="2005"/>
    <s v="No"/>
    <n v="0"/>
    <x v="0"/>
  </r>
  <r>
    <n v="93"/>
    <n v="65"/>
    <s v="IN"/>
    <n v="1017"/>
    <s v="No"/>
    <n v="0"/>
    <x v="0"/>
  </r>
  <r>
    <n v="94"/>
    <n v="35"/>
    <s v="IN"/>
    <n v="2408"/>
    <s v="No"/>
    <n v="0"/>
    <x v="2"/>
  </r>
  <r>
    <n v="95"/>
    <n v="75"/>
    <s v="OH"/>
    <n v="2847"/>
    <s v="No"/>
    <n v="0"/>
    <x v="0"/>
  </r>
  <r>
    <n v="96"/>
    <n v="35"/>
    <s v="MI"/>
    <n v="2686"/>
    <s v="No"/>
    <n v="0"/>
    <x v="2"/>
  </r>
  <r>
    <n v="97"/>
    <n v="74"/>
    <s v="OH"/>
    <n v="2297"/>
    <s v="No"/>
    <n v="0"/>
    <x v="0"/>
  </r>
  <r>
    <n v="98"/>
    <n v="43"/>
    <s v="KY"/>
    <n v="2289"/>
    <s v="No"/>
    <n v="0"/>
    <x v="2"/>
  </r>
  <r>
    <n v="99"/>
    <n v="71"/>
    <s v="PA"/>
    <n v="2224"/>
    <s v="No"/>
    <n v="0"/>
    <x v="0"/>
  </r>
  <r>
    <n v="100"/>
    <n v="35"/>
    <s v="KY"/>
    <n v="1878"/>
    <s v="No"/>
    <n v="0"/>
    <x v="2"/>
  </r>
  <r>
    <n v="101"/>
    <n v="25"/>
    <s v="PA"/>
    <n v="1405"/>
    <s v="No"/>
    <n v="0"/>
    <x v="1"/>
  </r>
  <r>
    <n v="102"/>
    <n v="66"/>
    <s v="OH"/>
    <n v="2973"/>
    <s v="No"/>
    <n v="0"/>
    <x v="0"/>
  </r>
  <r>
    <n v="103"/>
    <n v="33"/>
    <s v="IN"/>
    <n v="2108"/>
    <s v="No"/>
    <n v="0"/>
    <x v="2"/>
  </r>
  <r>
    <n v="104"/>
    <n v="18"/>
    <s v="MI"/>
    <n v="2703"/>
    <s v="No"/>
    <n v="0"/>
    <x v="1"/>
  </r>
  <r>
    <n v="105"/>
    <n v="41"/>
    <s v="IN"/>
    <n v="1776"/>
    <s v="No"/>
    <n v="0"/>
    <x v="2"/>
  </r>
  <r>
    <n v="106"/>
    <n v="53"/>
    <s v="IN"/>
    <n v="822"/>
    <s v="No"/>
    <n v="0"/>
    <x v="0"/>
  </r>
  <r>
    <n v="107"/>
    <n v="24"/>
    <s v="KY"/>
    <n v="1608"/>
    <s v="No"/>
    <n v="0"/>
    <x v="1"/>
  </r>
  <r>
    <n v="108"/>
    <n v="39"/>
    <s v="MI"/>
    <n v="1053"/>
    <s v="No"/>
    <n v="0"/>
    <x v="2"/>
  </r>
  <r>
    <n v="109"/>
    <n v="61"/>
    <s v="PA"/>
    <n v="2379"/>
    <s v="No"/>
    <n v="0"/>
    <x v="0"/>
  </r>
  <r>
    <n v="110"/>
    <n v="25"/>
    <s v="MI"/>
    <n v="2097"/>
    <s v="No"/>
    <n v="0"/>
    <x v="1"/>
  </r>
  <r>
    <n v="111"/>
    <n v="69"/>
    <s v="PA"/>
    <n v="2844"/>
    <s v="No"/>
    <n v="0"/>
    <x v="0"/>
  </r>
  <r>
    <n v="112"/>
    <n v="75"/>
    <s v="PA"/>
    <n v="1244"/>
    <s v="Yes"/>
    <n v="5319"/>
    <x v="0"/>
  </r>
  <r>
    <n v="113"/>
    <n v="52"/>
    <s v="MI"/>
    <n v="1731"/>
    <s v="No"/>
    <n v="0"/>
    <x v="0"/>
  </r>
  <r>
    <n v="114"/>
    <n v="69"/>
    <s v="OH"/>
    <n v="1550"/>
    <s v="No"/>
    <n v="0"/>
    <x v="0"/>
  </r>
  <r>
    <n v="115"/>
    <n v="37"/>
    <s v="KY"/>
    <n v="2006"/>
    <s v="No"/>
    <n v="0"/>
    <x v="2"/>
  </r>
  <r>
    <n v="116"/>
    <n v="41"/>
    <s v="IN"/>
    <n v="2163"/>
    <s v="No"/>
    <n v="0"/>
    <x v="2"/>
  </r>
  <r>
    <n v="117"/>
    <n v="60"/>
    <s v="IN"/>
    <n v="2567"/>
    <s v="Yes"/>
    <n v="10177"/>
    <x v="0"/>
  </r>
  <r>
    <n v="118"/>
    <n v="39"/>
    <s v="OH"/>
    <n v="1142"/>
    <s v="No"/>
    <n v="0"/>
    <x v="2"/>
  </r>
  <r>
    <n v="119"/>
    <n v="55"/>
    <s v="KY"/>
    <n v="1578"/>
    <s v="No"/>
    <n v="0"/>
    <x v="0"/>
  </r>
  <r>
    <n v="120"/>
    <n v="71"/>
    <s v="MI"/>
    <n v="2059"/>
    <s v="No"/>
    <n v="0"/>
    <x v="0"/>
  </r>
  <r>
    <n v="121"/>
    <n v="53"/>
    <s v="PA"/>
    <n v="1302"/>
    <s v="No"/>
    <n v="0"/>
    <x v="0"/>
  </r>
  <r>
    <n v="122"/>
    <n v="68"/>
    <s v="OH"/>
    <n v="2289"/>
    <s v="No"/>
    <n v="0"/>
    <x v="0"/>
  </r>
  <r>
    <n v="123"/>
    <n v="42"/>
    <s v="PA"/>
    <n v="1434"/>
    <s v="No"/>
    <n v="0"/>
    <x v="2"/>
  </r>
  <r>
    <n v="124"/>
    <n v="27"/>
    <s v="IN"/>
    <n v="1009"/>
    <s v="No"/>
    <n v="0"/>
    <x v="1"/>
  </r>
  <r>
    <n v="125"/>
    <n v="79"/>
    <s v="KY"/>
    <n v="2893"/>
    <s v="No"/>
    <n v="0"/>
    <x v="0"/>
  </r>
  <r>
    <n v="126"/>
    <n v="63"/>
    <s v="OH"/>
    <n v="1759"/>
    <s v="No"/>
    <n v="0"/>
    <x v="0"/>
  </r>
  <r>
    <n v="127"/>
    <n v="36"/>
    <s v="OH"/>
    <n v="911"/>
    <s v="No"/>
    <n v="0"/>
    <x v="2"/>
  </r>
  <r>
    <n v="128"/>
    <n v="77"/>
    <s v="OH"/>
    <n v="1823"/>
    <s v="No"/>
    <n v="0"/>
    <x v="0"/>
  </r>
  <r>
    <n v="129"/>
    <n v="61"/>
    <s v="KY"/>
    <n v="2220"/>
    <s v="Yes"/>
    <n v="5091"/>
    <x v="0"/>
  </r>
  <r>
    <n v="130"/>
    <n v="42"/>
    <s v="PA"/>
    <n v="2804"/>
    <s v="No"/>
    <n v="0"/>
    <x v="2"/>
  </r>
  <r>
    <n v="131"/>
    <n v="38"/>
    <s v="MI"/>
    <n v="1804"/>
    <s v="Yes"/>
    <n v="8353"/>
    <x v="2"/>
  </r>
  <r>
    <n v="132"/>
    <n v="25"/>
    <s v="IN"/>
    <n v="871"/>
    <s v="No"/>
    <n v="0"/>
    <x v="1"/>
  </r>
  <r>
    <n v="133"/>
    <n v="32"/>
    <s v="IN"/>
    <n v="1182"/>
    <s v="No"/>
    <n v="0"/>
    <x v="2"/>
  </r>
  <r>
    <n v="134"/>
    <n v="30"/>
    <s v="KY"/>
    <n v="2716"/>
    <s v="No"/>
    <n v="0"/>
    <x v="2"/>
  </r>
  <r>
    <n v="135"/>
    <n v="50"/>
    <s v="MI"/>
    <n v="2123"/>
    <s v="No"/>
    <n v="0"/>
    <x v="0"/>
  </r>
  <r>
    <n v="136"/>
    <n v="29"/>
    <s v="KY"/>
    <n v="2506"/>
    <s v="No"/>
    <n v="0"/>
    <x v="1"/>
  </r>
  <r>
    <n v="137"/>
    <n v="59"/>
    <s v="KY"/>
    <n v="2652"/>
    <s v="No"/>
    <n v="0"/>
    <x v="0"/>
  </r>
  <r>
    <n v="138"/>
    <n v="37"/>
    <s v="IN"/>
    <n v="1128"/>
    <s v="Yes"/>
    <n v="2388"/>
    <x v="2"/>
  </r>
  <r>
    <n v="139"/>
    <n v="35"/>
    <s v="OH"/>
    <n v="838"/>
    <s v="No"/>
    <n v="0"/>
    <x v="2"/>
  </r>
  <r>
    <n v="140"/>
    <n v="42"/>
    <s v="IN"/>
    <n v="1435"/>
    <s v="Yes"/>
    <n v="5413"/>
    <x v="2"/>
  </r>
  <r>
    <n v="141"/>
    <n v="23"/>
    <s v="OH"/>
    <n v="917"/>
    <s v="Yes"/>
    <n v="9305"/>
    <x v="1"/>
  </r>
  <r>
    <n v="142"/>
    <n v="79"/>
    <s v="KY"/>
    <n v="1194"/>
    <s v="Yes"/>
    <n v="16863"/>
    <x v="0"/>
  </r>
  <r>
    <n v="143"/>
    <n v="50"/>
    <s v="OH"/>
    <n v="2570"/>
    <s v="Yes"/>
    <n v="10453"/>
    <x v="0"/>
  </r>
  <r>
    <n v="144"/>
    <n v="37"/>
    <s v="OH"/>
    <n v="1428"/>
    <s v="No"/>
    <n v="0"/>
    <x v="2"/>
  </r>
  <r>
    <n v="145"/>
    <n v="44"/>
    <s v="PA"/>
    <n v="907"/>
    <s v="Yes"/>
    <n v="19590"/>
    <x v="2"/>
  </r>
  <r>
    <n v="146"/>
    <n v="44"/>
    <s v="KY"/>
    <n v="2089"/>
    <s v="No"/>
    <n v="0"/>
    <x v="2"/>
  </r>
  <r>
    <n v="147"/>
    <n v="44"/>
    <s v="KY"/>
    <n v="2006"/>
    <s v="No"/>
    <n v="0"/>
    <x v="2"/>
  </r>
  <r>
    <n v="148"/>
    <n v="59"/>
    <s v="KY"/>
    <n v="2980"/>
    <s v="No"/>
    <n v="0"/>
    <x v="0"/>
  </r>
  <r>
    <n v="149"/>
    <n v="44"/>
    <s v="IN"/>
    <n v="2709"/>
    <s v="No"/>
    <n v="0"/>
    <x v="2"/>
  </r>
  <r>
    <n v="150"/>
    <n v="66"/>
    <s v="OH"/>
    <n v="1310"/>
    <s v="Yes"/>
    <n v="7495"/>
    <x v="0"/>
  </r>
  <r>
    <n v="151"/>
    <n v="71"/>
    <s v="IN"/>
    <n v="1257"/>
    <s v="No"/>
    <n v="0"/>
    <x v="0"/>
  </r>
  <r>
    <n v="152"/>
    <n v="75"/>
    <s v="IN"/>
    <n v="2640"/>
    <s v="No"/>
    <n v="0"/>
    <x v="0"/>
  </r>
  <r>
    <n v="153"/>
    <n v="21"/>
    <s v="PA"/>
    <n v="2914"/>
    <s v="No"/>
    <n v="0"/>
    <x v="1"/>
  </r>
  <r>
    <n v="154"/>
    <n v="37"/>
    <s v="OH"/>
    <n v="2368"/>
    <s v="No"/>
    <n v="0"/>
    <x v="2"/>
  </r>
  <r>
    <n v="155"/>
    <n v="80"/>
    <s v="KY"/>
    <n v="922"/>
    <s v="No"/>
    <n v="0"/>
    <x v="0"/>
  </r>
  <r>
    <n v="156"/>
    <n v="46"/>
    <s v="KY"/>
    <n v="1631"/>
    <s v="No"/>
    <n v="0"/>
    <x v="2"/>
  </r>
  <r>
    <n v="157"/>
    <n v="47"/>
    <s v="MI"/>
    <n v="2488"/>
    <s v="No"/>
    <n v="0"/>
    <x v="2"/>
  </r>
  <r>
    <n v="158"/>
    <n v="75"/>
    <s v="IN"/>
    <n v="2794"/>
    <s v="No"/>
    <n v="0"/>
    <x v="0"/>
  </r>
  <r>
    <n v="159"/>
    <n v="67"/>
    <s v="OH"/>
    <n v="1404"/>
    <s v="No"/>
    <n v="0"/>
    <x v="0"/>
  </r>
  <r>
    <n v="160"/>
    <n v="62"/>
    <s v="OH"/>
    <n v="2439"/>
    <s v="No"/>
    <n v="0"/>
    <x v="0"/>
  </r>
  <r>
    <n v="161"/>
    <n v="42"/>
    <s v="MI"/>
    <n v="1787"/>
    <s v="No"/>
    <n v="0"/>
    <x v="2"/>
  </r>
  <r>
    <n v="162"/>
    <n v="36"/>
    <s v="PA"/>
    <n v="865"/>
    <s v="No"/>
    <n v="0"/>
    <x v="2"/>
  </r>
  <r>
    <n v="163"/>
    <n v="34"/>
    <s v="PA"/>
    <n v="2067"/>
    <s v="Yes"/>
    <n v="5536"/>
    <x v="2"/>
  </r>
  <r>
    <n v="164"/>
    <n v="67"/>
    <s v="OH"/>
    <n v="1390"/>
    <s v="No"/>
    <n v="0"/>
    <x v="0"/>
  </r>
  <r>
    <n v="165"/>
    <n v="49"/>
    <s v="PA"/>
    <n v="1965"/>
    <s v="No"/>
    <n v="0"/>
    <x v="2"/>
  </r>
  <r>
    <n v="166"/>
    <n v="41"/>
    <s v="MI"/>
    <n v="2703"/>
    <s v="No"/>
    <n v="0"/>
    <x v="2"/>
  </r>
  <r>
    <n v="167"/>
    <n v="46"/>
    <s v="OH"/>
    <n v="2762"/>
    <s v="No"/>
    <n v="0"/>
    <x v="2"/>
  </r>
  <r>
    <n v="168"/>
    <n v="73"/>
    <s v="KY"/>
    <n v="2960"/>
    <s v="No"/>
    <n v="0"/>
    <x v="0"/>
  </r>
  <r>
    <n v="169"/>
    <n v="65"/>
    <s v="MI"/>
    <n v="2497"/>
    <s v="No"/>
    <n v="0"/>
    <x v="0"/>
  </r>
  <r>
    <n v="170"/>
    <n v="60"/>
    <s v="MI"/>
    <n v="2604"/>
    <s v="No"/>
    <n v="0"/>
    <x v="0"/>
  </r>
  <r>
    <n v="171"/>
    <n v="55"/>
    <s v="IN"/>
    <n v="2145"/>
    <s v="No"/>
    <n v="0"/>
    <x v="0"/>
  </r>
  <r>
    <n v="172"/>
    <n v="18"/>
    <s v="PA"/>
    <n v="1564"/>
    <s v="No"/>
    <n v="0"/>
    <x v="1"/>
  </r>
  <r>
    <n v="173"/>
    <n v="64"/>
    <s v="PA"/>
    <n v="808"/>
    <s v="No"/>
    <n v="0"/>
    <x v="0"/>
  </r>
  <r>
    <n v="174"/>
    <n v="55"/>
    <s v="PA"/>
    <n v="1121"/>
    <s v="Yes"/>
    <n v="5688"/>
    <x v="0"/>
  </r>
  <r>
    <n v="175"/>
    <n v="39"/>
    <s v="KY"/>
    <n v="2687"/>
    <s v="Yes"/>
    <n v="6106"/>
    <x v="2"/>
  </r>
  <r>
    <n v="176"/>
    <n v="18"/>
    <s v="OH"/>
    <n v="1674"/>
    <s v="No"/>
    <n v="0"/>
    <x v="1"/>
  </r>
  <r>
    <n v="177"/>
    <n v="74"/>
    <s v="OH"/>
    <n v="2347"/>
    <s v="No"/>
    <n v="0"/>
    <x v="0"/>
  </r>
  <r>
    <n v="178"/>
    <n v="45"/>
    <s v="MI"/>
    <n v="2019"/>
    <s v="No"/>
    <n v="0"/>
    <x v="2"/>
  </r>
  <r>
    <n v="179"/>
    <n v="39"/>
    <s v="IN"/>
    <n v="1093"/>
    <s v="No"/>
    <n v="0"/>
    <x v="2"/>
  </r>
  <r>
    <n v="180"/>
    <n v="79"/>
    <s v="IN"/>
    <n v="1724"/>
    <s v="No"/>
    <n v="0"/>
    <x v="0"/>
  </r>
  <r>
    <n v="181"/>
    <n v="28"/>
    <s v="PA"/>
    <n v="1871"/>
    <s v="Yes"/>
    <n v="13365"/>
    <x v="1"/>
  </r>
  <r>
    <n v="182"/>
    <n v="47"/>
    <s v="MI"/>
    <n v="2692"/>
    <s v="No"/>
    <n v="0"/>
    <x v="2"/>
  </r>
  <r>
    <n v="183"/>
    <n v="65"/>
    <s v="KY"/>
    <n v="2571"/>
    <s v="No"/>
    <n v="0"/>
    <x v="0"/>
  </r>
  <r>
    <n v="184"/>
    <n v="52"/>
    <s v="IN"/>
    <n v="1160"/>
    <s v="Yes"/>
    <n v="6483"/>
    <x v="0"/>
  </r>
  <r>
    <n v="185"/>
    <n v="45"/>
    <s v="MI"/>
    <n v="1555"/>
    <s v="No"/>
    <n v="0"/>
    <x v="2"/>
  </r>
  <r>
    <n v="186"/>
    <n v="36"/>
    <s v="PA"/>
    <n v="2981"/>
    <s v="No"/>
    <n v="0"/>
    <x v="2"/>
  </r>
  <r>
    <n v="187"/>
    <n v="75"/>
    <s v="PA"/>
    <n v="1372"/>
    <s v="Yes"/>
    <n v="7903"/>
    <x v="0"/>
  </r>
  <r>
    <n v="188"/>
    <n v="54"/>
    <s v="KY"/>
    <n v="2936"/>
    <s v="Yes"/>
    <n v="7155"/>
    <x v="0"/>
  </r>
  <r>
    <n v="189"/>
    <n v="68"/>
    <s v="PA"/>
    <n v="1081"/>
    <s v="Yes"/>
    <n v="11767"/>
    <x v="0"/>
  </r>
  <r>
    <n v="190"/>
    <n v="74"/>
    <s v="OH"/>
    <n v="1096"/>
    <s v="No"/>
    <n v="0"/>
    <x v="0"/>
  </r>
  <r>
    <n v="191"/>
    <n v="26"/>
    <s v="OH"/>
    <n v="1647"/>
    <s v="No"/>
    <n v="0"/>
    <x v="1"/>
  </r>
  <r>
    <n v="192"/>
    <n v="42"/>
    <s v="PA"/>
    <n v="2793"/>
    <s v="Yes"/>
    <n v="7957"/>
    <x v="2"/>
  </r>
  <r>
    <n v="193"/>
    <n v="74"/>
    <s v="IN"/>
    <n v="2043"/>
    <s v="No"/>
    <n v="0"/>
    <x v="0"/>
  </r>
  <r>
    <n v="194"/>
    <n v="52"/>
    <s v="KY"/>
    <n v="1902"/>
    <s v="Yes"/>
    <n v="10470"/>
    <x v="0"/>
  </r>
  <r>
    <n v="195"/>
    <n v="27"/>
    <s v="IN"/>
    <n v="1867"/>
    <s v="Yes"/>
    <n v="2645"/>
    <x v="1"/>
  </r>
  <r>
    <n v="196"/>
    <n v="53"/>
    <s v="IN"/>
    <n v="2150"/>
    <s v="No"/>
    <n v="0"/>
    <x v="0"/>
  </r>
  <r>
    <n v="197"/>
    <n v="75"/>
    <s v="MI"/>
    <n v="1391"/>
    <s v="No"/>
    <n v="0"/>
    <x v="0"/>
  </r>
  <r>
    <n v="198"/>
    <n v="74"/>
    <s v="IN"/>
    <n v="1541"/>
    <s v="No"/>
    <n v="0"/>
    <x v="0"/>
  </r>
  <r>
    <n v="199"/>
    <n v="24"/>
    <s v="IN"/>
    <n v="1386"/>
    <s v="Yes"/>
    <n v="3268"/>
    <x v="1"/>
  </r>
  <r>
    <n v="200"/>
    <n v="36"/>
    <s v="MI"/>
    <n v="1038"/>
    <s v="No"/>
    <n v="0"/>
    <x v="2"/>
  </r>
  <r>
    <n v="201"/>
    <n v="29"/>
    <s v="KY"/>
    <n v="2201"/>
    <s v="No"/>
    <n v="0"/>
    <x v="1"/>
  </r>
  <r>
    <n v="202"/>
    <n v="20"/>
    <s v="MI"/>
    <n v="2065"/>
    <s v="No"/>
    <n v="0"/>
    <x v="1"/>
  </r>
  <r>
    <n v="203"/>
    <n v="60"/>
    <s v="PA"/>
    <n v="1638"/>
    <s v="Yes"/>
    <n v="1426"/>
    <x v="0"/>
  </r>
  <r>
    <n v="204"/>
    <n v="68"/>
    <s v="IN"/>
    <n v="2694"/>
    <s v="No"/>
    <n v="0"/>
    <x v="0"/>
  </r>
  <r>
    <n v="205"/>
    <n v="80"/>
    <s v="MI"/>
    <n v="886"/>
    <s v="No"/>
    <n v="0"/>
    <x v="0"/>
  </r>
  <r>
    <n v="206"/>
    <n v="72"/>
    <s v="OH"/>
    <n v="901"/>
    <s v="No"/>
    <n v="0"/>
    <x v="0"/>
  </r>
  <r>
    <n v="207"/>
    <n v="30"/>
    <s v="OH"/>
    <n v="2389"/>
    <s v="Yes"/>
    <n v="12111"/>
    <x v="2"/>
  </r>
  <r>
    <n v="208"/>
    <n v="26"/>
    <s v="PA"/>
    <n v="1830"/>
    <s v="No"/>
    <n v="0"/>
    <x v="1"/>
  </r>
  <r>
    <n v="209"/>
    <n v="68"/>
    <s v="PA"/>
    <n v="2621"/>
    <s v="No"/>
    <n v="0"/>
    <x v="0"/>
  </r>
  <r>
    <n v="210"/>
    <n v="68"/>
    <s v="MI"/>
    <n v="2784"/>
    <s v="No"/>
    <n v="0"/>
    <x v="0"/>
  </r>
  <r>
    <n v="211"/>
    <n v="64"/>
    <s v="PA"/>
    <n v="2430"/>
    <s v="No"/>
    <n v="0"/>
    <x v="0"/>
  </r>
  <r>
    <n v="212"/>
    <n v="18"/>
    <s v="KY"/>
    <n v="1609"/>
    <s v="No"/>
    <n v="0"/>
    <x v="1"/>
  </r>
  <r>
    <n v="213"/>
    <n v="27"/>
    <s v="MI"/>
    <n v="2482"/>
    <s v="No"/>
    <n v="0"/>
    <x v="1"/>
  </r>
  <r>
    <n v="214"/>
    <n v="74"/>
    <s v="OH"/>
    <n v="2095"/>
    <s v="Yes"/>
    <n v="13597"/>
    <x v="0"/>
  </r>
  <r>
    <n v="215"/>
    <n v="47"/>
    <s v="OH"/>
    <n v="1720"/>
    <s v="No"/>
    <n v="0"/>
    <x v="2"/>
  </r>
  <r>
    <n v="216"/>
    <n v="36"/>
    <s v="OH"/>
    <n v="2102"/>
    <s v="No"/>
    <n v="0"/>
    <x v="2"/>
  </r>
  <r>
    <n v="217"/>
    <n v="57"/>
    <s v="IN"/>
    <n v="2850"/>
    <s v="No"/>
    <n v="0"/>
    <x v="0"/>
  </r>
  <r>
    <n v="218"/>
    <n v="36"/>
    <s v="OH"/>
    <n v="969"/>
    <s v="No"/>
    <n v="0"/>
    <x v="2"/>
  </r>
  <r>
    <n v="219"/>
    <n v="29"/>
    <s v="PA"/>
    <n v="1906"/>
    <s v="No"/>
    <n v="0"/>
    <x v="1"/>
  </r>
  <r>
    <n v="220"/>
    <n v="77"/>
    <s v="MI"/>
    <n v="2377"/>
    <s v="No"/>
    <n v="0"/>
    <x v="0"/>
  </r>
  <r>
    <n v="221"/>
    <n v="20"/>
    <s v="MI"/>
    <n v="1916"/>
    <s v="Yes"/>
    <n v="15840"/>
    <x v="1"/>
  </r>
  <r>
    <n v="222"/>
    <n v="60"/>
    <s v="OH"/>
    <n v="1863"/>
    <s v="No"/>
    <n v="0"/>
    <x v="0"/>
  </r>
  <r>
    <n v="223"/>
    <n v="38"/>
    <s v="PA"/>
    <n v="1512"/>
    <s v="No"/>
    <n v="0"/>
    <x v="2"/>
  </r>
  <r>
    <n v="224"/>
    <n v="54"/>
    <s v="MI"/>
    <n v="1477"/>
    <s v="No"/>
    <n v="0"/>
    <x v="0"/>
  </r>
  <r>
    <n v="225"/>
    <n v="29"/>
    <s v="OH"/>
    <n v="856"/>
    <s v="No"/>
    <n v="0"/>
    <x v="1"/>
  </r>
  <r>
    <n v="226"/>
    <n v="24"/>
    <s v="OH"/>
    <n v="1627"/>
    <s v="No"/>
    <n v="0"/>
    <x v="1"/>
  </r>
  <r>
    <n v="227"/>
    <n v="80"/>
    <s v="MI"/>
    <n v="2247"/>
    <s v="No"/>
    <n v="0"/>
    <x v="0"/>
  </r>
  <r>
    <n v="228"/>
    <n v="70"/>
    <s v="PA"/>
    <n v="1971"/>
    <s v="No"/>
    <n v="0"/>
    <x v="0"/>
  </r>
  <r>
    <n v="229"/>
    <n v="30"/>
    <s v="IN"/>
    <n v="808"/>
    <s v="Yes"/>
    <n v="13410"/>
    <x v="2"/>
  </r>
  <r>
    <n v="230"/>
    <n v="59"/>
    <s v="OH"/>
    <n v="2544"/>
    <s v="No"/>
    <n v="0"/>
    <x v="0"/>
  </r>
  <r>
    <n v="231"/>
    <n v="30"/>
    <s v="KY"/>
    <n v="2436"/>
    <s v="No"/>
    <n v="0"/>
    <x v="2"/>
  </r>
  <r>
    <n v="232"/>
    <n v="67"/>
    <s v="MI"/>
    <n v="2618"/>
    <s v="No"/>
    <n v="0"/>
    <x v="0"/>
  </r>
  <r>
    <n v="233"/>
    <n v="20"/>
    <s v="IN"/>
    <n v="2409"/>
    <s v="No"/>
    <n v="0"/>
    <x v="1"/>
  </r>
  <r>
    <n v="234"/>
    <n v="41"/>
    <s v="PA"/>
    <n v="1241"/>
    <s v="No"/>
    <n v="0"/>
    <x v="2"/>
  </r>
  <r>
    <n v="235"/>
    <n v="70"/>
    <s v="PA"/>
    <n v="1085"/>
    <s v="Yes"/>
    <n v="8666"/>
    <x v="0"/>
  </r>
  <r>
    <n v="236"/>
    <n v="38"/>
    <s v="IN"/>
    <n v="2075"/>
    <s v="No"/>
    <n v="0"/>
    <x v="2"/>
  </r>
  <r>
    <n v="237"/>
    <n v="52"/>
    <s v="KY"/>
    <n v="1431"/>
    <s v="Yes"/>
    <n v="4160"/>
    <x v="0"/>
  </r>
  <r>
    <n v="238"/>
    <n v="42"/>
    <s v="IN"/>
    <n v="2091"/>
    <s v="No"/>
    <n v="0"/>
    <x v="2"/>
  </r>
  <r>
    <n v="239"/>
    <n v="31"/>
    <s v="PA"/>
    <n v="1398"/>
    <s v="No"/>
    <n v="0"/>
    <x v="2"/>
  </r>
  <r>
    <n v="240"/>
    <n v="46"/>
    <s v="OH"/>
    <n v="2624"/>
    <s v="Yes"/>
    <n v="19907"/>
    <x v="2"/>
  </r>
  <r>
    <n v="241"/>
    <n v="61"/>
    <s v="IN"/>
    <n v="2271"/>
    <s v="No"/>
    <n v="0"/>
    <x v="0"/>
  </r>
  <r>
    <n v="242"/>
    <n v="62"/>
    <s v="PA"/>
    <n v="2441"/>
    <s v="No"/>
    <n v="0"/>
    <x v="0"/>
  </r>
  <r>
    <n v="243"/>
    <n v="22"/>
    <s v="IN"/>
    <n v="1241"/>
    <s v="No"/>
    <n v="0"/>
    <x v="1"/>
  </r>
  <r>
    <n v="244"/>
    <n v="71"/>
    <s v="PA"/>
    <n v="2395"/>
    <s v="No"/>
    <n v="0"/>
    <x v="0"/>
  </r>
  <r>
    <n v="245"/>
    <n v="48"/>
    <s v="OH"/>
    <n v="2751"/>
    <s v="No"/>
    <n v="0"/>
    <x v="2"/>
  </r>
  <r>
    <n v="246"/>
    <n v="55"/>
    <s v="KY"/>
    <n v="2223"/>
    <s v="No"/>
    <n v="0"/>
    <x v="0"/>
  </r>
  <r>
    <n v="247"/>
    <n v="21"/>
    <s v="IN"/>
    <n v="2681"/>
    <s v="No"/>
    <n v="0"/>
    <x v="1"/>
  </r>
  <r>
    <n v="248"/>
    <n v="67"/>
    <s v="PA"/>
    <n v="1548"/>
    <s v="No"/>
    <n v="0"/>
    <x v="0"/>
  </r>
  <r>
    <n v="249"/>
    <n v="54"/>
    <s v="KY"/>
    <n v="1424"/>
    <s v="No"/>
    <n v="0"/>
    <x v="0"/>
  </r>
  <r>
    <n v="250"/>
    <n v="46"/>
    <s v="PA"/>
    <n v="2864"/>
    <s v="Yes"/>
    <n v="15326"/>
    <x v="2"/>
  </r>
  <r>
    <n v="251"/>
    <n v="24"/>
    <s v="KY"/>
    <n v="2293"/>
    <s v="No"/>
    <n v="0"/>
    <x v="1"/>
  </r>
  <r>
    <n v="252"/>
    <n v="64"/>
    <s v="PA"/>
    <n v="2225"/>
    <s v="No"/>
    <n v="0"/>
    <x v="0"/>
  </r>
  <r>
    <n v="253"/>
    <n v="45"/>
    <s v="PA"/>
    <n v="2282"/>
    <s v="No"/>
    <n v="0"/>
    <x v="2"/>
  </r>
  <r>
    <n v="254"/>
    <n v="36"/>
    <s v="MI"/>
    <n v="2453"/>
    <s v="No"/>
    <n v="0"/>
    <x v="2"/>
  </r>
  <r>
    <n v="255"/>
    <n v="75"/>
    <s v="IN"/>
    <n v="1257"/>
    <s v="No"/>
    <n v="0"/>
    <x v="0"/>
  </r>
  <r>
    <n v="256"/>
    <n v="52"/>
    <s v="IN"/>
    <n v="1145"/>
    <s v="No"/>
    <n v="0"/>
    <x v="0"/>
  </r>
  <r>
    <n v="257"/>
    <n v="53"/>
    <s v="KY"/>
    <n v="948"/>
    <s v="Yes"/>
    <n v="8047"/>
    <x v="0"/>
  </r>
  <r>
    <n v="258"/>
    <n v="35"/>
    <s v="PA"/>
    <n v="2865"/>
    <s v="No"/>
    <n v="0"/>
    <x v="2"/>
  </r>
  <r>
    <n v="259"/>
    <n v="36"/>
    <s v="KY"/>
    <n v="1013"/>
    <s v="No"/>
    <n v="0"/>
    <x v="2"/>
  </r>
  <r>
    <n v="260"/>
    <n v="69"/>
    <s v="KY"/>
    <n v="2885"/>
    <s v="No"/>
    <n v="0"/>
    <x v="0"/>
  </r>
  <r>
    <n v="261"/>
    <n v="65"/>
    <s v="IN"/>
    <n v="2719"/>
    <s v="No"/>
    <n v="0"/>
    <x v="0"/>
  </r>
  <r>
    <n v="262"/>
    <n v="66"/>
    <s v="KY"/>
    <n v="2920"/>
    <s v="No"/>
    <n v="0"/>
    <x v="0"/>
  </r>
  <r>
    <n v="263"/>
    <n v="72"/>
    <s v="IN"/>
    <n v="1514"/>
    <s v="No"/>
    <n v="0"/>
    <x v="0"/>
  </r>
  <r>
    <n v="264"/>
    <n v="52"/>
    <s v="IN"/>
    <n v="2908"/>
    <s v="No"/>
    <n v="0"/>
    <x v="0"/>
  </r>
  <r>
    <n v="265"/>
    <n v="40"/>
    <s v="IN"/>
    <n v="2859"/>
    <s v="No"/>
    <n v="0"/>
    <x v="2"/>
  </r>
  <r>
    <n v="266"/>
    <n v="77"/>
    <s v="MI"/>
    <n v="2045"/>
    <s v="Yes"/>
    <n v="1429"/>
    <x v="0"/>
  </r>
  <r>
    <n v="267"/>
    <n v="36"/>
    <s v="OH"/>
    <n v="1527"/>
    <s v="No"/>
    <n v="0"/>
    <x v="2"/>
  </r>
  <r>
    <n v="268"/>
    <n v="55"/>
    <s v="KY"/>
    <n v="2259"/>
    <s v="No"/>
    <n v="0"/>
    <x v="0"/>
  </r>
  <r>
    <n v="269"/>
    <n v="54"/>
    <s v="PA"/>
    <n v="2767"/>
    <s v="No"/>
    <n v="0"/>
    <x v="0"/>
  </r>
  <r>
    <n v="270"/>
    <n v="25"/>
    <s v="MI"/>
    <n v="1738"/>
    <s v="No"/>
    <n v="0"/>
    <x v="1"/>
  </r>
  <r>
    <n v="271"/>
    <n v="39"/>
    <s v="PA"/>
    <n v="2253"/>
    <s v="Yes"/>
    <n v="5091"/>
    <x v="2"/>
  </r>
  <r>
    <n v="272"/>
    <n v="64"/>
    <s v="KY"/>
    <n v="2383"/>
    <s v="No"/>
    <n v="0"/>
    <x v="0"/>
  </r>
  <r>
    <n v="273"/>
    <n v="43"/>
    <s v="PA"/>
    <n v="2742"/>
    <s v="No"/>
    <n v="0"/>
    <x v="2"/>
  </r>
  <r>
    <n v="274"/>
    <n v="74"/>
    <s v="IN"/>
    <n v="2529"/>
    <s v="Yes"/>
    <n v="8402"/>
    <x v="0"/>
  </r>
  <r>
    <n v="275"/>
    <n v="69"/>
    <s v="PA"/>
    <n v="2239"/>
    <s v="No"/>
    <n v="0"/>
    <x v="0"/>
  </r>
  <r>
    <n v="276"/>
    <n v="53"/>
    <s v="MI"/>
    <n v="1034"/>
    <s v="Yes"/>
    <n v="1048"/>
    <x v="0"/>
  </r>
  <r>
    <n v="277"/>
    <n v="36"/>
    <s v="MI"/>
    <n v="1749"/>
    <s v="Yes"/>
    <n v="7423"/>
    <x v="2"/>
  </r>
  <r>
    <n v="278"/>
    <n v="71"/>
    <s v="OH"/>
    <n v="2380"/>
    <s v="No"/>
    <n v="0"/>
    <x v="0"/>
  </r>
  <r>
    <n v="279"/>
    <n v="34"/>
    <s v="PA"/>
    <n v="1217"/>
    <s v="No"/>
    <n v="0"/>
    <x v="2"/>
  </r>
  <r>
    <n v="280"/>
    <n v="37"/>
    <s v="MI"/>
    <n v="2874"/>
    <s v="No"/>
    <n v="0"/>
    <x v="2"/>
  </r>
  <r>
    <n v="281"/>
    <n v="65"/>
    <s v="KY"/>
    <n v="1893"/>
    <s v="Yes"/>
    <n v="14025"/>
    <x v="0"/>
  </r>
  <r>
    <n v="282"/>
    <n v="74"/>
    <s v="MI"/>
    <n v="1771"/>
    <s v="Yes"/>
    <n v="12946"/>
    <x v="0"/>
  </r>
  <r>
    <n v="283"/>
    <n v="45"/>
    <s v="OH"/>
    <n v="1252"/>
    <s v="No"/>
    <n v="0"/>
    <x v="2"/>
  </r>
  <r>
    <n v="284"/>
    <n v="62"/>
    <s v="KY"/>
    <n v="2217"/>
    <s v="No"/>
    <n v="0"/>
    <x v="0"/>
  </r>
  <r>
    <n v="285"/>
    <n v="61"/>
    <s v="IN"/>
    <n v="2433"/>
    <s v="Yes"/>
    <n v="2867"/>
    <x v="0"/>
  </r>
  <r>
    <n v="286"/>
    <n v="31"/>
    <s v="PA"/>
    <n v="2342"/>
    <s v="No"/>
    <n v="0"/>
    <x v="2"/>
  </r>
  <r>
    <n v="287"/>
    <n v="32"/>
    <s v="PA"/>
    <n v="1205"/>
    <s v="No"/>
    <n v="0"/>
    <x v="2"/>
  </r>
  <r>
    <n v="288"/>
    <n v="64"/>
    <s v="PA"/>
    <n v="1014"/>
    <s v="No"/>
    <n v="0"/>
    <x v="0"/>
  </r>
  <r>
    <n v="289"/>
    <n v="62"/>
    <s v="KY"/>
    <n v="949"/>
    <s v="No"/>
    <n v="0"/>
    <x v="0"/>
  </r>
  <r>
    <n v="290"/>
    <n v="35"/>
    <s v="IN"/>
    <n v="2720"/>
    <s v="No"/>
    <n v="0"/>
    <x v="2"/>
  </r>
  <r>
    <n v="291"/>
    <n v="31"/>
    <s v="IN"/>
    <n v="2478"/>
    <s v="No"/>
    <n v="0"/>
    <x v="2"/>
  </r>
  <r>
    <n v="292"/>
    <n v="59"/>
    <s v="MI"/>
    <n v="1138"/>
    <s v="No"/>
    <n v="0"/>
    <x v="0"/>
  </r>
  <r>
    <n v="293"/>
    <n v="53"/>
    <s v="IN"/>
    <n v="2585"/>
    <s v="No"/>
    <n v="0"/>
    <x v="0"/>
  </r>
  <r>
    <n v="294"/>
    <n v="25"/>
    <s v="OH"/>
    <n v="940"/>
    <s v="No"/>
    <n v="0"/>
    <x v="1"/>
  </r>
  <r>
    <n v="295"/>
    <n v="29"/>
    <s v="MI"/>
    <n v="2019"/>
    <s v="No"/>
    <n v="0"/>
    <x v="1"/>
  </r>
  <r>
    <n v="296"/>
    <n v="42"/>
    <s v="KY"/>
    <n v="2311"/>
    <s v="No"/>
    <n v="0"/>
    <x v="2"/>
  </r>
  <r>
    <n v="297"/>
    <n v="64"/>
    <s v="KY"/>
    <n v="1624"/>
    <s v="No"/>
    <n v="0"/>
    <x v="0"/>
  </r>
  <r>
    <n v="298"/>
    <n v="75"/>
    <s v="PA"/>
    <n v="1490"/>
    <s v="No"/>
    <n v="0"/>
    <x v="0"/>
  </r>
  <r>
    <n v="299"/>
    <n v="36"/>
    <s v="KY"/>
    <n v="2255"/>
    <s v="No"/>
    <n v="0"/>
    <x v="2"/>
  </r>
  <r>
    <n v="300"/>
    <n v="54"/>
    <s v="OH"/>
    <n v="2945"/>
    <s v="No"/>
    <n v="0"/>
    <x v="0"/>
  </r>
  <r>
    <n v="301"/>
    <n v="28"/>
    <s v="MI"/>
    <n v="2120"/>
    <s v="No"/>
    <n v="0"/>
    <x v="1"/>
  </r>
  <r>
    <n v="302"/>
    <n v="42"/>
    <s v="PA"/>
    <n v="1495"/>
    <s v="No"/>
    <n v="0"/>
    <x v="2"/>
  </r>
  <r>
    <n v="303"/>
    <n v="65"/>
    <s v="OH"/>
    <n v="2245"/>
    <s v="No"/>
    <n v="0"/>
    <x v="0"/>
  </r>
  <r>
    <n v="304"/>
    <n v="48"/>
    <s v="MI"/>
    <n v="2983"/>
    <s v="No"/>
    <n v="0"/>
    <x v="2"/>
  </r>
  <r>
    <n v="305"/>
    <n v="75"/>
    <s v="PA"/>
    <n v="821"/>
    <s v="No"/>
    <n v="0"/>
    <x v="0"/>
  </r>
  <r>
    <n v="306"/>
    <n v="49"/>
    <s v="IN"/>
    <n v="2810"/>
    <s v="No"/>
    <n v="0"/>
    <x v="2"/>
  </r>
  <r>
    <n v="307"/>
    <n v="61"/>
    <s v="PA"/>
    <n v="1500"/>
    <s v="No"/>
    <n v="0"/>
    <x v="0"/>
  </r>
  <r>
    <n v="308"/>
    <n v="42"/>
    <s v="MI"/>
    <n v="1032"/>
    <s v="Yes"/>
    <n v="3432"/>
    <x v="2"/>
  </r>
  <r>
    <n v="309"/>
    <n v="50"/>
    <s v="KY"/>
    <n v="883"/>
    <s v="No"/>
    <n v="0"/>
    <x v="0"/>
  </r>
  <r>
    <n v="310"/>
    <n v="26"/>
    <s v="MI"/>
    <n v="2661"/>
    <s v="No"/>
    <n v="0"/>
    <x v="1"/>
  </r>
  <r>
    <n v="311"/>
    <n v="57"/>
    <s v="IN"/>
    <n v="2053"/>
    <s v="No"/>
    <n v="0"/>
    <x v="0"/>
  </r>
  <r>
    <n v="312"/>
    <n v="63"/>
    <s v="OH"/>
    <n v="2763"/>
    <s v="No"/>
    <n v="0"/>
    <x v="0"/>
  </r>
  <r>
    <n v="313"/>
    <n v="38"/>
    <s v="OH"/>
    <n v="2821"/>
    <s v="No"/>
    <n v="0"/>
    <x v="2"/>
  </r>
  <r>
    <n v="314"/>
    <n v="74"/>
    <s v="KY"/>
    <n v="2471"/>
    <s v="Yes"/>
    <n v="6102"/>
    <x v="0"/>
  </r>
  <r>
    <n v="315"/>
    <n v="32"/>
    <s v="KY"/>
    <n v="1263"/>
    <s v="No"/>
    <n v="0"/>
    <x v="2"/>
  </r>
  <r>
    <n v="316"/>
    <n v="76"/>
    <s v="IN"/>
    <n v="1297"/>
    <s v="No"/>
    <n v="0"/>
    <x v="0"/>
  </r>
  <r>
    <n v="317"/>
    <n v="22"/>
    <s v="PA"/>
    <n v="2704"/>
    <s v="No"/>
    <n v="0"/>
    <x v="1"/>
  </r>
  <r>
    <n v="318"/>
    <n v="59"/>
    <s v="MI"/>
    <n v="2858"/>
    <s v="No"/>
    <n v="0"/>
    <x v="0"/>
  </r>
  <r>
    <n v="319"/>
    <n v="42"/>
    <s v="KY"/>
    <n v="1550"/>
    <s v="No"/>
    <n v="0"/>
    <x v="2"/>
  </r>
  <r>
    <n v="320"/>
    <n v="20"/>
    <s v="OH"/>
    <n v="1277"/>
    <s v="No"/>
    <n v="0"/>
    <x v="1"/>
  </r>
  <r>
    <n v="321"/>
    <n v="23"/>
    <s v="PA"/>
    <n v="1340"/>
    <s v="Yes"/>
    <n v="2584"/>
    <x v="1"/>
  </r>
  <r>
    <n v="322"/>
    <n v="38"/>
    <s v="MI"/>
    <n v="851"/>
    <s v="No"/>
    <n v="0"/>
    <x v="2"/>
  </r>
  <r>
    <n v="323"/>
    <n v="55"/>
    <s v="KY"/>
    <n v="1541"/>
    <s v="No"/>
    <n v="0"/>
    <x v="0"/>
  </r>
  <r>
    <n v="324"/>
    <n v="31"/>
    <s v="IN"/>
    <n v="2558"/>
    <s v="No"/>
    <n v="0"/>
    <x v="2"/>
  </r>
  <r>
    <n v="325"/>
    <n v="68"/>
    <s v="MI"/>
    <n v="2861"/>
    <s v="No"/>
    <n v="0"/>
    <x v="0"/>
  </r>
  <r>
    <n v="326"/>
    <n v="34"/>
    <s v="PA"/>
    <n v="2581"/>
    <s v="No"/>
    <n v="0"/>
    <x v="2"/>
  </r>
  <r>
    <n v="327"/>
    <n v="36"/>
    <s v="IN"/>
    <n v="2622"/>
    <s v="No"/>
    <n v="0"/>
    <x v="2"/>
  </r>
  <r>
    <n v="328"/>
    <n v="79"/>
    <s v="PA"/>
    <n v="1596"/>
    <s v="No"/>
    <n v="0"/>
    <x v="0"/>
  </r>
  <r>
    <n v="329"/>
    <n v="79"/>
    <s v="KY"/>
    <n v="2542"/>
    <s v="No"/>
    <n v="0"/>
    <x v="0"/>
  </r>
  <r>
    <n v="330"/>
    <n v="55"/>
    <s v="OH"/>
    <n v="1678"/>
    <s v="No"/>
    <n v="0"/>
    <x v="0"/>
  </r>
  <r>
    <n v="331"/>
    <n v="63"/>
    <s v="PA"/>
    <n v="3000"/>
    <s v="No"/>
    <n v="0"/>
    <x v="0"/>
  </r>
  <r>
    <n v="332"/>
    <n v="43"/>
    <s v="MI"/>
    <n v="2000"/>
    <s v="No"/>
    <n v="0"/>
    <x v="2"/>
  </r>
  <r>
    <n v="333"/>
    <n v="41"/>
    <s v="OH"/>
    <n v="2330"/>
    <s v="No"/>
    <n v="0"/>
    <x v="2"/>
  </r>
  <r>
    <n v="334"/>
    <n v="58"/>
    <s v="KY"/>
    <n v="1639"/>
    <s v="No"/>
    <n v="0"/>
    <x v="0"/>
  </r>
  <r>
    <n v="335"/>
    <n v="32"/>
    <s v="MI"/>
    <n v="2899"/>
    <s v="No"/>
    <n v="0"/>
    <x v="2"/>
  </r>
  <r>
    <n v="336"/>
    <n v="65"/>
    <s v="PA"/>
    <n v="1275"/>
    <s v="No"/>
    <n v="0"/>
    <x v="0"/>
  </r>
  <r>
    <n v="337"/>
    <n v="77"/>
    <s v="MI"/>
    <n v="1553"/>
    <s v="No"/>
    <n v="0"/>
    <x v="0"/>
  </r>
  <r>
    <n v="338"/>
    <n v="63"/>
    <s v="MI"/>
    <n v="2388"/>
    <s v="Yes"/>
    <n v="10967"/>
    <x v="0"/>
  </r>
  <r>
    <n v="339"/>
    <n v="34"/>
    <s v="IN"/>
    <n v="2123"/>
    <s v="No"/>
    <n v="0"/>
    <x v="2"/>
  </r>
  <r>
    <n v="340"/>
    <n v="20"/>
    <s v="OH"/>
    <n v="2323"/>
    <s v="No"/>
    <n v="0"/>
    <x v="1"/>
  </r>
  <r>
    <n v="341"/>
    <n v="27"/>
    <s v="IN"/>
    <n v="1051"/>
    <s v="No"/>
    <n v="0"/>
    <x v="1"/>
  </r>
  <r>
    <n v="342"/>
    <n v="61"/>
    <s v="KY"/>
    <n v="826"/>
    <s v="No"/>
    <n v="0"/>
    <x v="0"/>
  </r>
  <r>
    <n v="343"/>
    <n v="40"/>
    <s v="IN"/>
    <n v="981"/>
    <s v="No"/>
    <n v="0"/>
    <x v="2"/>
  </r>
  <r>
    <n v="344"/>
    <n v="62"/>
    <s v="KY"/>
    <n v="2595"/>
    <s v="No"/>
    <n v="0"/>
    <x v="0"/>
  </r>
  <r>
    <n v="345"/>
    <n v="30"/>
    <s v="IN"/>
    <n v="2778"/>
    <s v="No"/>
    <n v="0"/>
    <x v="2"/>
  </r>
  <r>
    <n v="346"/>
    <n v="56"/>
    <s v="IN"/>
    <n v="2929"/>
    <s v="No"/>
    <n v="0"/>
    <x v="0"/>
  </r>
  <r>
    <n v="347"/>
    <n v="68"/>
    <s v="MI"/>
    <n v="2545"/>
    <s v="No"/>
    <n v="0"/>
    <x v="0"/>
  </r>
  <r>
    <n v="348"/>
    <n v="74"/>
    <s v="PA"/>
    <n v="2919"/>
    <s v="No"/>
    <n v="0"/>
    <x v="0"/>
  </r>
  <r>
    <n v="349"/>
    <n v="33"/>
    <s v="PA"/>
    <n v="1753"/>
    <s v="Yes"/>
    <n v="14806"/>
    <x v="2"/>
  </r>
  <r>
    <n v="350"/>
    <n v="67"/>
    <s v="KY"/>
    <n v="1919"/>
    <s v="No"/>
    <n v="0"/>
    <x v="0"/>
  </r>
  <r>
    <n v="351"/>
    <n v="74"/>
    <s v="IN"/>
    <n v="1399"/>
    <s v="No"/>
    <n v="0"/>
    <x v="0"/>
  </r>
  <r>
    <n v="352"/>
    <n v="64"/>
    <s v="MI"/>
    <n v="1993"/>
    <s v="No"/>
    <n v="0"/>
    <x v="0"/>
  </r>
  <r>
    <n v="353"/>
    <n v="35"/>
    <s v="IN"/>
    <n v="1451"/>
    <s v="No"/>
    <n v="0"/>
    <x v="2"/>
  </r>
  <r>
    <n v="354"/>
    <n v="70"/>
    <s v="IN"/>
    <n v="1490"/>
    <s v="Yes"/>
    <n v="9310"/>
    <x v="0"/>
  </r>
  <r>
    <n v="355"/>
    <n v="36"/>
    <s v="OH"/>
    <n v="2939"/>
    <s v="No"/>
    <n v="0"/>
    <x v="2"/>
  </r>
  <r>
    <n v="356"/>
    <n v="28"/>
    <s v="OH"/>
    <n v="2350"/>
    <s v="No"/>
    <n v="0"/>
    <x v="1"/>
  </r>
  <r>
    <n v="357"/>
    <n v="52"/>
    <s v="IN"/>
    <n v="1350"/>
    <s v="No"/>
    <n v="0"/>
    <x v="0"/>
  </r>
  <r>
    <n v="358"/>
    <n v="25"/>
    <s v="OH"/>
    <n v="1104"/>
    <s v="No"/>
    <n v="0"/>
    <x v="1"/>
  </r>
  <r>
    <n v="359"/>
    <n v="20"/>
    <s v="MI"/>
    <n v="905"/>
    <s v="No"/>
    <n v="0"/>
    <x v="1"/>
  </r>
  <r>
    <n v="360"/>
    <n v="31"/>
    <s v="OH"/>
    <n v="1178"/>
    <s v="No"/>
    <n v="0"/>
    <x v="2"/>
  </r>
  <r>
    <n v="361"/>
    <n v="47"/>
    <s v="MI"/>
    <n v="1750"/>
    <s v="No"/>
    <n v="0"/>
    <x v="2"/>
  </r>
  <r>
    <n v="362"/>
    <n v="25"/>
    <s v="OH"/>
    <n v="2251"/>
    <s v="No"/>
    <n v="0"/>
    <x v="1"/>
  </r>
  <r>
    <n v="363"/>
    <n v="21"/>
    <s v="IN"/>
    <n v="974"/>
    <s v="No"/>
    <n v="0"/>
    <x v="1"/>
  </r>
  <r>
    <n v="364"/>
    <n v="47"/>
    <s v="OH"/>
    <n v="1361"/>
    <s v="No"/>
    <n v="0"/>
    <x v="2"/>
  </r>
  <r>
    <n v="365"/>
    <n v="65"/>
    <s v="MI"/>
    <n v="2218"/>
    <s v="Yes"/>
    <n v="19880"/>
    <x v="0"/>
  </r>
  <r>
    <n v="366"/>
    <n v="34"/>
    <s v="MI"/>
    <n v="2849"/>
    <s v="No"/>
    <n v="0"/>
    <x v="2"/>
  </r>
  <r>
    <n v="367"/>
    <n v="34"/>
    <s v="OH"/>
    <n v="986"/>
    <s v="No"/>
    <n v="0"/>
    <x v="2"/>
  </r>
  <r>
    <n v="368"/>
    <n v="38"/>
    <s v="KY"/>
    <n v="2996"/>
    <s v="No"/>
    <n v="0"/>
    <x v="2"/>
  </r>
  <r>
    <n v="369"/>
    <n v="74"/>
    <s v="OH"/>
    <n v="2300"/>
    <s v="Yes"/>
    <n v="6129"/>
    <x v="0"/>
  </r>
  <r>
    <n v="370"/>
    <n v="77"/>
    <s v="KY"/>
    <n v="2478"/>
    <s v="No"/>
    <n v="0"/>
    <x v="0"/>
  </r>
  <r>
    <n v="371"/>
    <n v="20"/>
    <s v="OH"/>
    <n v="1341"/>
    <s v="No"/>
    <n v="0"/>
    <x v="1"/>
  </r>
  <r>
    <n v="372"/>
    <n v="75"/>
    <s v="IN"/>
    <n v="2967"/>
    <s v="Yes"/>
    <n v="17723"/>
    <x v="0"/>
  </r>
  <r>
    <n v="373"/>
    <n v="35"/>
    <s v="KY"/>
    <n v="1842"/>
    <s v="No"/>
    <n v="0"/>
    <x v="2"/>
  </r>
  <r>
    <n v="374"/>
    <n v="25"/>
    <s v="IN"/>
    <n v="874"/>
    <s v="No"/>
    <n v="0"/>
    <x v="1"/>
  </r>
  <r>
    <n v="375"/>
    <n v="24"/>
    <s v="IN"/>
    <n v="1782"/>
    <s v="Yes"/>
    <n v="2077"/>
    <x v="1"/>
  </r>
  <r>
    <n v="376"/>
    <n v="27"/>
    <s v="KY"/>
    <n v="2790"/>
    <s v="No"/>
    <n v="0"/>
    <x v="1"/>
  </r>
  <r>
    <n v="377"/>
    <n v="44"/>
    <s v="OH"/>
    <n v="1551"/>
    <s v="No"/>
    <n v="0"/>
    <x v="2"/>
  </r>
  <r>
    <n v="378"/>
    <n v="48"/>
    <s v="IN"/>
    <n v="2045"/>
    <s v="No"/>
    <n v="0"/>
    <x v="2"/>
  </r>
  <r>
    <n v="379"/>
    <n v="52"/>
    <s v="OH"/>
    <n v="1701"/>
    <s v="No"/>
    <n v="0"/>
    <x v="0"/>
  </r>
  <r>
    <n v="380"/>
    <n v="39"/>
    <s v="MI"/>
    <n v="2567"/>
    <s v="No"/>
    <n v="0"/>
    <x v="2"/>
  </r>
  <r>
    <n v="381"/>
    <n v="46"/>
    <s v="IN"/>
    <n v="1837"/>
    <s v="No"/>
    <n v="0"/>
    <x v="2"/>
  </r>
  <r>
    <n v="382"/>
    <n v="54"/>
    <s v="MI"/>
    <n v="2179"/>
    <s v="No"/>
    <n v="0"/>
    <x v="0"/>
  </r>
  <r>
    <n v="383"/>
    <n v="58"/>
    <s v="KY"/>
    <n v="2246"/>
    <s v="No"/>
    <n v="0"/>
    <x v="0"/>
  </r>
  <r>
    <n v="384"/>
    <n v="51"/>
    <s v="IN"/>
    <n v="1330"/>
    <s v="No"/>
    <n v="0"/>
    <x v="0"/>
  </r>
  <r>
    <n v="385"/>
    <n v="55"/>
    <s v="MI"/>
    <n v="2649"/>
    <s v="Yes"/>
    <n v="2134"/>
    <x v="0"/>
  </r>
  <r>
    <n v="386"/>
    <n v="57"/>
    <s v="OH"/>
    <n v="2562"/>
    <s v="No"/>
    <n v="0"/>
    <x v="0"/>
  </r>
  <r>
    <n v="387"/>
    <n v="35"/>
    <s v="MI"/>
    <n v="1471"/>
    <s v="No"/>
    <n v="0"/>
    <x v="2"/>
  </r>
  <r>
    <n v="388"/>
    <n v="66"/>
    <s v="MI"/>
    <n v="2419"/>
    <s v="No"/>
    <n v="0"/>
    <x v="0"/>
  </r>
  <r>
    <n v="389"/>
    <n v="25"/>
    <s v="OH"/>
    <n v="2815"/>
    <s v="No"/>
    <n v="0"/>
    <x v="1"/>
  </r>
  <r>
    <n v="390"/>
    <n v="28"/>
    <s v="IN"/>
    <n v="1540"/>
    <s v="No"/>
    <n v="0"/>
    <x v="1"/>
  </r>
  <r>
    <n v="391"/>
    <n v="23"/>
    <s v="PA"/>
    <n v="2473"/>
    <s v="Yes"/>
    <n v="19942"/>
    <x v="1"/>
  </r>
  <r>
    <n v="392"/>
    <n v="31"/>
    <s v="MI"/>
    <n v="834"/>
    <s v="Yes"/>
    <n v="10626"/>
    <x v="2"/>
  </r>
  <r>
    <n v="393"/>
    <n v="73"/>
    <s v="KY"/>
    <n v="1928"/>
    <s v="No"/>
    <n v="0"/>
    <x v="0"/>
  </r>
  <r>
    <n v="394"/>
    <n v="43"/>
    <s v="MI"/>
    <n v="2789"/>
    <s v="No"/>
    <n v="0"/>
    <x v="2"/>
  </r>
  <r>
    <n v="395"/>
    <n v="41"/>
    <s v="MI"/>
    <n v="1345"/>
    <s v="Yes"/>
    <n v="19331"/>
    <x v="2"/>
  </r>
  <r>
    <n v="396"/>
    <n v="39"/>
    <s v="IN"/>
    <n v="833"/>
    <s v="Yes"/>
    <n v="16769"/>
    <x v="2"/>
  </r>
  <r>
    <n v="397"/>
    <n v="65"/>
    <s v="KY"/>
    <n v="1776"/>
    <s v="No"/>
    <n v="0"/>
    <x v="0"/>
  </r>
  <r>
    <n v="398"/>
    <n v="44"/>
    <s v="MI"/>
    <n v="2161"/>
    <s v="No"/>
    <n v="0"/>
    <x v="2"/>
  </r>
  <r>
    <n v="399"/>
    <n v="37"/>
    <s v="OH"/>
    <n v="2468"/>
    <s v="Yes"/>
    <n v="15890"/>
    <x v="2"/>
  </r>
  <r>
    <n v="400"/>
    <n v="53"/>
    <s v="OH"/>
    <n v="1423"/>
    <s v="No"/>
    <n v="0"/>
    <x v="0"/>
  </r>
  <r>
    <n v="401"/>
    <n v="37"/>
    <s v="OH"/>
    <n v="1069"/>
    <s v="Yes"/>
    <n v="19717"/>
    <x v="2"/>
  </r>
  <r>
    <n v="402"/>
    <n v="59"/>
    <s v="KY"/>
    <n v="1420"/>
    <s v="No"/>
    <n v="0"/>
    <x v="0"/>
  </r>
  <r>
    <n v="403"/>
    <n v="79"/>
    <s v="OH"/>
    <n v="1933"/>
    <s v="No"/>
    <n v="0"/>
    <x v="0"/>
  </r>
  <r>
    <n v="404"/>
    <n v="59"/>
    <s v="OH"/>
    <n v="1074"/>
    <s v="No"/>
    <n v="0"/>
    <x v="0"/>
  </r>
  <r>
    <n v="405"/>
    <n v="50"/>
    <s v="OH"/>
    <n v="1790"/>
    <s v="No"/>
    <n v="0"/>
    <x v="0"/>
  </r>
  <r>
    <n v="406"/>
    <n v="38"/>
    <s v="IN"/>
    <n v="1799"/>
    <s v="No"/>
    <n v="0"/>
    <x v="2"/>
  </r>
  <r>
    <n v="407"/>
    <n v="78"/>
    <s v="PA"/>
    <n v="2690"/>
    <s v="No"/>
    <n v="0"/>
    <x v="0"/>
  </r>
  <r>
    <n v="408"/>
    <n v="59"/>
    <s v="KY"/>
    <n v="2946"/>
    <s v="Yes"/>
    <n v="3530"/>
    <x v="0"/>
  </r>
  <r>
    <n v="409"/>
    <n v="58"/>
    <s v="OH"/>
    <n v="1446"/>
    <s v="No"/>
    <n v="0"/>
    <x v="0"/>
  </r>
  <r>
    <n v="410"/>
    <n v="41"/>
    <s v="PA"/>
    <n v="2128"/>
    <s v="No"/>
    <n v="0"/>
    <x v="2"/>
  </r>
  <r>
    <n v="411"/>
    <n v="54"/>
    <s v="IN"/>
    <n v="2650"/>
    <s v="No"/>
    <n v="0"/>
    <x v="0"/>
  </r>
  <r>
    <n v="412"/>
    <n v="44"/>
    <s v="IN"/>
    <n v="2119"/>
    <s v="No"/>
    <n v="0"/>
    <x v="2"/>
  </r>
  <r>
    <n v="413"/>
    <n v="30"/>
    <s v="OH"/>
    <n v="855"/>
    <s v="No"/>
    <n v="0"/>
    <x v="2"/>
  </r>
  <r>
    <n v="414"/>
    <n v="42"/>
    <s v="PA"/>
    <n v="1254"/>
    <s v="No"/>
    <n v="0"/>
    <x v="2"/>
  </r>
  <r>
    <n v="415"/>
    <n v="18"/>
    <s v="KY"/>
    <n v="2650"/>
    <s v="No"/>
    <n v="0"/>
    <x v="1"/>
  </r>
  <r>
    <n v="416"/>
    <n v="54"/>
    <s v="OH"/>
    <n v="1841"/>
    <s v="No"/>
    <n v="0"/>
    <x v="0"/>
  </r>
  <r>
    <n v="417"/>
    <n v="40"/>
    <s v="KY"/>
    <n v="832"/>
    <s v="No"/>
    <n v="0"/>
    <x v="2"/>
  </r>
  <r>
    <n v="418"/>
    <n v="34"/>
    <s v="IN"/>
    <n v="1163"/>
    <s v="No"/>
    <n v="0"/>
    <x v="2"/>
  </r>
  <r>
    <n v="419"/>
    <n v="67"/>
    <s v="OH"/>
    <n v="933"/>
    <s v="No"/>
    <n v="0"/>
    <x v="0"/>
  </r>
  <r>
    <n v="420"/>
    <n v="72"/>
    <s v="PA"/>
    <n v="2804"/>
    <s v="No"/>
    <n v="0"/>
    <x v="0"/>
  </r>
  <r>
    <n v="421"/>
    <n v="58"/>
    <s v="OH"/>
    <n v="2361"/>
    <s v="No"/>
    <n v="0"/>
    <x v="0"/>
  </r>
  <r>
    <n v="422"/>
    <n v="24"/>
    <s v="KY"/>
    <n v="2348"/>
    <s v="No"/>
    <n v="0"/>
    <x v="1"/>
  </r>
  <r>
    <n v="423"/>
    <n v="31"/>
    <s v="KY"/>
    <n v="1230"/>
    <s v="No"/>
    <n v="0"/>
    <x v="2"/>
  </r>
  <r>
    <n v="424"/>
    <n v="68"/>
    <s v="IN"/>
    <n v="1625"/>
    <s v="No"/>
    <n v="0"/>
    <x v="0"/>
  </r>
  <r>
    <n v="425"/>
    <n v="66"/>
    <s v="IN"/>
    <n v="2879"/>
    <s v="No"/>
    <n v="0"/>
    <x v="0"/>
  </r>
  <r>
    <n v="426"/>
    <n v="19"/>
    <s v="KY"/>
    <n v="2659"/>
    <s v="Yes"/>
    <n v="12591"/>
    <x v="1"/>
  </r>
  <r>
    <n v="427"/>
    <n v="24"/>
    <s v="KY"/>
    <n v="2607"/>
    <s v="No"/>
    <n v="0"/>
    <x v="1"/>
  </r>
  <r>
    <n v="428"/>
    <n v="58"/>
    <s v="PA"/>
    <n v="1460"/>
    <s v="Yes"/>
    <n v="15815"/>
    <x v="0"/>
  </r>
  <r>
    <n v="429"/>
    <n v="71"/>
    <s v="PA"/>
    <n v="2734"/>
    <s v="No"/>
    <n v="0"/>
    <x v="0"/>
  </r>
  <r>
    <n v="430"/>
    <n v="62"/>
    <s v="OH"/>
    <n v="1358"/>
    <s v="No"/>
    <n v="0"/>
    <x v="0"/>
  </r>
  <r>
    <n v="431"/>
    <n v="39"/>
    <s v="IN"/>
    <n v="1061"/>
    <s v="No"/>
    <n v="0"/>
    <x v="2"/>
  </r>
  <r>
    <n v="432"/>
    <n v="33"/>
    <s v="MI"/>
    <n v="2229"/>
    <s v="No"/>
    <n v="0"/>
    <x v="2"/>
  </r>
  <r>
    <n v="433"/>
    <n v="32"/>
    <s v="IN"/>
    <n v="2878"/>
    <s v="Yes"/>
    <n v="15631"/>
    <x v="2"/>
  </r>
  <r>
    <n v="434"/>
    <n v="34"/>
    <s v="KY"/>
    <n v="2582"/>
    <s v="No"/>
    <n v="0"/>
    <x v="2"/>
  </r>
  <r>
    <n v="435"/>
    <n v="79"/>
    <s v="KY"/>
    <n v="1514"/>
    <s v="No"/>
    <n v="0"/>
    <x v="0"/>
  </r>
  <r>
    <n v="436"/>
    <n v="66"/>
    <s v="OH"/>
    <n v="2346"/>
    <s v="No"/>
    <n v="0"/>
    <x v="0"/>
  </r>
  <r>
    <n v="437"/>
    <n v="41"/>
    <s v="IN"/>
    <n v="1663"/>
    <s v="No"/>
    <n v="0"/>
    <x v="2"/>
  </r>
  <r>
    <n v="438"/>
    <n v="19"/>
    <s v="OH"/>
    <n v="914"/>
    <s v="No"/>
    <n v="0"/>
    <x v="1"/>
  </r>
  <r>
    <n v="439"/>
    <n v="63"/>
    <s v="KY"/>
    <n v="2468"/>
    <s v="No"/>
    <n v="0"/>
    <x v="0"/>
  </r>
  <r>
    <n v="440"/>
    <n v="68"/>
    <s v="MI"/>
    <n v="2130"/>
    <s v="No"/>
    <n v="0"/>
    <x v="0"/>
  </r>
  <r>
    <n v="441"/>
    <n v="63"/>
    <s v="IN"/>
    <n v="1592"/>
    <s v="No"/>
    <n v="0"/>
    <x v="0"/>
  </r>
  <r>
    <n v="442"/>
    <n v="50"/>
    <s v="IN"/>
    <n v="1793"/>
    <s v="No"/>
    <n v="0"/>
    <x v="0"/>
  </r>
  <r>
    <n v="443"/>
    <n v="54"/>
    <s v="OH"/>
    <n v="1380"/>
    <s v="No"/>
    <n v="0"/>
    <x v="0"/>
  </r>
  <r>
    <n v="444"/>
    <n v="33"/>
    <s v="IN"/>
    <n v="1543"/>
    <s v="No"/>
    <n v="0"/>
    <x v="2"/>
  </r>
  <r>
    <n v="445"/>
    <n v="39"/>
    <s v="KY"/>
    <n v="2771"/>
    <s v="No"/>
    <n v="0"/>
    <x v="2"/>
  </r>
  <r>
    <n v="446"/>
    <n v="71"/>
    <s v="MI"/>
    <n v="1800"/>
    <s v="No"/>
    <n v="0"/>
    <x v="0"/>
  </r>
  <r>
    <n v="447"/>
    <n v="29"/>
    <s v="KY"/>
    <n v="1236"/>
    <s v="No"/>
    <n v="0"/>
    <x v="1"/>
  </r>
  <r>
    <n v="448"/>
    <n v="42"/>
    <s v="KY"/>
    <n v="2176"/>
    <s v="No"/>
    <n v="0"/>
    <x v="2"/>
  </r>
  <r>
    <n v="449"/>
    <n v="36"/>
    <s v="PA"/>
    <n v="2953"/>
    <s v="No"/>
    <n v="0"/>
    <x v="2"/>
  </r>
  <r>
    <n v="450"/>
    <n v="71"/>
    <s v="PA"/>
    <n v="1772"/>
    <s v="No"/>
    <n v="0"/>
    <x v="0"/>
  </r>
  <r>
    <n v="451"/>
    <n v="70"/>
    <s v="KY"/>
    <n v="2633"/>
    <s v="No"/>
    <n v="0"/>
    <x v="0"/>
  </r>
  <r>
    <n v="452"/>
    <n v="24"/>
    <s v="PA"/>
    <n v="1942"/>
    <s v="No"/>
    <n v="0"/>
    <x v="1"/>
  </r>
  <r>
    <n v="453"/>
    <n v="41"/>
    <s v="OH"/>
    <n v="1961"/>
    <s v="Yes"/>
    <n v="12219"/>
    <x v="2"/>
  </r>
  <r>
    <n v="454"/>
    <n v="43"/>
    <s v="MI"/>
    <n v="1002"/>
    <s v="Yes"/>
    <n v="7137"/>
    <x v="2"/>
  </r>
  <r>
    <n v="455"/>
    <n v="33"/>
    <s v="IN"/>
    <n v="2611"/>
    <s v="No"/>
    <n v="0"/>
    <x v="2"/>
  </r>
  <r>
    <n v="456"/>
    <n v="58"/>
    <s v="MI"/>
    <n v="2238"/>
    <s v="No"/>
    <n v="0"/>
    <x v="0"/>
  </r>
  <r>
    <n v="457"/>
    <n v="30"/>
    <s v="OH"/>
    <n v="1059"/>
    <s v="No"/>
    <n v="0"/>
    <x v="2"/>
  </r>
  <r>
    <n v="458"/>
    <n v="35"/>
    <s v="KY"/>
    <n v="1889"/>
    <s v="No"/>
    <n v="0"/>
    <x v="2"/>
  </r>
  <r>
    <n v="459"/>
    <n v="51"/>
    <s v="IN"/>
    <n v="878"/>
    <s v="No"/>
    <n v="0"/>
    <x v="0"/>
  </r>
  <r>
    <n v="460"/>
    <n v="75"/>
    <s v="IN"/>
    <n v="2546"/>
    <s v="Yes"/>
    <n v="15752"/>
    <x v="0"/>
  </r>
  <r>
    <n v="461"/>
    <n v="55"/>
    <s v="KY"/>
    <n v="1205"/>
    <s v="No"/>
    <n v="0"/>
    <x v="0"/>
  </r>
  <r>
    <n v="462"/>
    <n v="63"/>
    <s v="KY"/>
    <n v="2859"/>
    <s v="No"/>
    <n v="0"/>
    <x v="0"/>
  </r>
  <r>
    <n v="463"/>
    <n v="60"/>
    <s v="PA"/>
    <n v="875"/>
    <s v="No"/>
    <n v="0"/>
    <x v="0"/>
  </r>
  <r>
    <n v="464"/>
    <n v="28"/>
    <s v="OH"/>
    <n v="2758"/>
    <s v="No"/>
    <n v="0"/>
    <x v="1"/>
  </r>
  <r>
    <n v="465"/>
    <n v="40"/>
    <s v="IN"/>
    <n v="1556"/>
    <s v="No"/>
    <n v="0"/>
    <x v="2"/>
  </r>
  <r>
    <n v="466"/>
    <n v="25"/>
    <s v="OH"/>
    <n v="1367"/>
    <s v="No"/>
    <n v="0"/>
    <x v="1"/>
  </r>
  <r>
    <n v="467"/>
    <n v="44"/>
    <s v="PA"/>
    <n v="2750"/>
    <s v="No"/>
    <n v="0"/>
    <x v="2"/>
  </r>
  <r>
    <n v="468"/>
    <n v="78"/>
    <s v="MI"/>
    <n v="1984"/>
    <s v="No"/>
    <n v="0"/>
    <x v="0"/>
  </r>
  <r>
    <n v="469"/>
    <n v="71"/>
    <s v="PA"/>
    <n v="844"/>
    <s v="Yes"/>
    <n v="3405"/>
    <x v="0"/>
  </r>
  <r>
    <n v="470"/>
    <n v="37"/>
    <s v="OH"/>
    <n v="1093"/>
    <s v="No"/>
    <n v="0"/>
    <x v="2"/>
  </r>
  <r>
    <n v="471"/>
    <n v="62"/>
    <s v="MI"/>
    <n v="820"/>
    <s v="No"/>
    <n v="0"/>
    <x v="0"/>
  </r>
  <r>
    <n v="472"/>
    <n v="61"/>
    <s v="PA"/>
    <n v="2109"/>
    <s v="No"/>
    <n v="0"/>
    <x v="0"/>
  </r>
  <r>
    <n v="473"/>
    <n v="45"/>
    <s v="OH"/>
    <n v="1294"/>
    <s v="No"/>
    <n v="0"/>
    <x v="2"/>
  </r>
  <r>
    <n v="474"/>
    <n v="62"/>
    <s v="PA"/>
    <n v="1832"/>
    <s v="Yes"/>
    <n v="11231"/>
    <x v="0"/>
  </r>
  <r>
    <n v="475"/>
    <n v="21"/>
    <s v="IN"/>
    <n v="1555"/>
    <s v="No"/>
    <n v="0"/>
    <x v="1"/>
  </r>
  <r>
    <n v="476"/>
    <n v="56"/>
    <s v="IN"/>
    <n v="1399"/>
    <s v="No"/>
    <n v="0"/>
    <x v="0"/>
  </r>
  <r>
    <n v="477"/>
    <n v="26"/>
    <s v="KY"/>
    <n v="1434"/>
    <s v="No"/>
    <n v="0"/>
    <x v="1"/>
  </r>
  <r>
    <n v="478"/>
    <n v="22"/>
    <s v="IN"/>
    <n v="2806"/>
    <s v="No"/>
    <n v="0"/>
    <x v="1"/>
  </r>
  <r>
    <n v="479"/>
    <n v="62"/>
    <s v="MI"/>
    <n v="2092"/>
    <s v="No"/>
    <n v="0"/>
    <x v="0"/>
  </r>
  <r>
    <n v="480"/>
    <n v="72"/>
    <s v="IN"/>
    <n v="1286"/>
    <s v="No"/>
    <n v="0"/>
    <x v="0"/>
  </r>
  <r>
    <n v="481"/>
    <n v="32"/>
    <s v="PA"/>
    <n v="1287"/>
    <s v="No"/>
    <n v="0"/>
    <x v="2"/>
  </r>
  <r>
    <n v="482"/>
    <n v="78"/>
    <s v="PA"/>
    <n v="2708"/>
    <s v="Yes"/>
    <n v="19869"/>
    <x v="0"/>
  </r>
  <r>
    <n v="483"/>
    <n v="38"/>
    <s v="KY"/>
    <n v="2989"/>
    <s v="No"/>
    <n v="0"/>
    <x v="2"/>
  </r>
  <r>
    <n v="484"/>
    <n v="73"/>
    <s v="PA"/>
    <n v="1134"/>
    <s v="Yes"/>
    <n v="4991"/>
    <x v="0"/>
  </r>
  <r>
    <n v="485"/>
    <n v="44"/>
    <s v="OH"/>
    <n v="2348"/>
    <s v="No"/>
    <n v="0"/>
    <x v="2"/>
  </r>
  <r>
    <n v="486"/>
    <n v="25"/>
    <s v="IN"/>
    <n v="953"/>
    <s v="No"/>
    <n v="0"/>
    <x v="1"/>
  </r>
  <r>
    <n v="487"/>
    <n v="48"/>
    <s v="IN"/>
    <n v="1751"/>
    <s v="No"/>
    <n v="0"/>
    <x v="2"/>
  </r>
  <r>
    <n v="488"/>
    <n v="35"/>
    <s v="OH"/>
    <n v="1217"/>
    <s v="No"/>
    <n v="0"/>
    <x v="2"/>
  </r>
  <r>
    <n v="489"/>
    <n v="24"/>
    <s v="PA"/>
    <n v="2707"/>
    <s v="No"/>
    <n v="0"/>
    <x v="1"/>
  </r>
  <r>
    <n v="490"/>
    <n v="59"/>
    <s v="PA"/>
    <n v="2027"/>
    <s v="No"/>
    <n v="0"/>
    <x v="0"/>
  </r>
  <r>
    <n v="491"/>
    <n v="77"/>
    <s v="PA"/>
    <n v="1282"/>
    <s v="No"/>
    <n v="0"/>
    <x v="0"/>
  </r>
  <r>
    <n v="492"/>
    <n v="71"/>
    <s v="PA"/>
    <n v="2166"/>
    <s v="No"/>
    <n v="0"/>
    <x v="0"/>
  </r>
  <r>
    <n v="493"/>
    <n v="30"/>
    <s v="PA"/>
    <n v="1445"/>
    <s v="No"/>
    <n v="0"/>
    <x v="2"/>
  </r>
  <r>
    <n v="494"/>
    <n v="33"/>
    <s v="OH"/>
    <n v="1993"/>
    <s v="No"/>
    <n v="0"/>
    <x v="2"/>
  </r>
  <r>
    <n v="495"/>
    <n v="69"/>
    <s v="MI"/>
    <n v="2782"/>
    <s v="No"/>
    <n v="0"/>
    <x v="0"/>
  </r>
  <r>
    <n v="496"/>
    <n v="64"/>
    <s v="OH"/>
    <n v="1525"/>
    <s v="No"/>
    <n v="0"/>
    <x v="0"/>
  </r>
  <r>
    <n v="497"/>
    <n v="48"/>
    <s v="PA"/>
    <n v="2289"/>
    <s v="No"/>
    <n v="0"/>
    <x v="2"/>
  </r>
  <r>
    <n v="498"/>
    <n v="41"/>
    <s v="PA"/>
    <n v="2279"/>
    <s v="No"/>
    <n v="0"/>
    <x v="2"/>
  </r>
  <r>
    <n v="499"/>
    <n v="18"/>
    <s v="IN"/>
    <n v="2020"/>
    <s v="No"/>
    <n v="0"/>
    <x v="1"/>
  </r>
  <r>
    <n v="500"/>
    <n v="36"/>
    <s v="OH"/>
    <n v="2964"/>
    <s v="No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93889-2CCE-4C92-95A9-133639EB2C3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6"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dataField="1"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laim_Amount" fld="5" baseField="0" baseItem="0"/>
    <dataField name="Count of Claim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1BD80-7FA4-4ED8-9F82-33191F0F32B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7">
    <pivotField dataField="1"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laim_Amount" fld="5" baseField="0" baseItem="0"/>
    <dataField name="Count of Policy_ID" fld="0" subtotal="count" baseField="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activeCell="K16" sqref="K16"/>
    </sheetView>
  </sheetViews>
  <sheetFormatPr defaultRowHeight="15" x14ac:dyDescent="0.25"/>
  <cols>
    <col min="6" max="6" width="14.140625" customWidth="1"/>
    <col min="7" max="7" width="22.140625" customWidth="1"/>
    <col min="8" max="8" width="15.5703125" customWidth="1"/>
    <col min="9" max="9" width="10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</row>
    <row r="2" spans="1:9" x14ac:dyDescent="0.25">
      <c r="A2">
        <v>1</v>
      </c>
      <c r="B2">
        <v>56</v>
      </c>
      <c r="C2" t="s">
        <v>6</v>
      </c>
      <c r="D2">
        <v>1640</v>
      </c>
      <c r="E2" t="s">
        <v>7</v>
      </c>
      <c r="F2">
        <v>0</v>
      </c>
      <c r="G2" t="str">
        <f>IF(B2&lt;30,"Young",IF(B2&lt;50,"Middle","Senior"))</f>
        <v>Senior</v>
      </c>
      <c r="H2" s="1" t="s">
        <v>13</v>
      </c>
      <c r="I2" s="2">
        <f>COUNTA(A:A)-1</f>
        <v>500</v>
      </c>
    </row>
    <row r="3" spans="1:9" x14ac:dyDescent="0.25">
      <c r="A3">
        <v>2</v>
      </c>
      <c r="B3">
        <v>66</v>
      </c>
      <c r="C3" t="s">
        <v>6</v>
      </c>
      <c r="D3">
        <v>1632</v>
      </c>
      <c r="E3" t="s">
        <v>7</v>
      </c>
      <c r="F3">
        <v>0</v>
      </c>
      <c r="G3" t="str">
        <f t="shared" ref="G3:G66" si="0">IF(B3&lt;30,"Young",IF(B3&lt;50,"Middle","Senior"))</f>
        <v>Senior</v>
      </c>
      <c r="H3" s="1" t="s">
        <v>13</v>
      </c>
      <c r="I3" s="2">
        <f>COUNTIF(E:E,"Yes")</f>
        <v>75</v>
      </c>
    </row>
    <row r="4" spans="1:9" x14ac:dyDescent="0.25">
      <c r="A4">
        <v>3</v>
      </c>
      <c r="B4">
        <v>56</v>
      </c>
      <c r="C4" t="s">
        <v>6</v>
      </c>
      <c r="D4">
        <v>1770</v>
      </c>
      <c r="E4" t="s">
        <v>8</v>
      </c>
      <c r="F4">
        <v>12490</v>
      </c>
      <c r="G4" t="str">
        <f t="shared" si="0"/>
        <v>Senior</v>
      </c>
      <c r="H4" s="1" t="s">
        <v>13</v>
      </c>
      <c r="I4" s="3">
        <f>I3/I2</f>
        <v>0.15</v>
      </c>
    </row>
    <row r="5" spans="1:9" x14ac:dyDescent="0.25">
      <c r="A5">
        <v>4</v>
      </c>
      <c r="B5">
        <v>77</v>
      </c>
      <c r="C5" t="s">
        <v>9</v>
      </c>
      <c r="D5">
        <v>2922</v>
      </c>
      <c r="E5" t="s">
        <v>7</v>
      </c>
      <c r="F5">
        <v>0</v>
      </c>
      <c r="G5" t="str">
        <f t="shared" si="0"/>
        <v>Senior</v>
      </c>
      <c r="H5" s="1" t="s">
        <v>13</v>
      </c>
      <c r="I5" s="4">
        <f>SUM(F:F)/I3</f>
        <v>9974.9333333333325</v>
      </c>
    </row>
    <row r="6" spans="1:9" x14ac:dyDescent="0.25">
      <c r="A6">
        <v>5</v>
      </c>
      <c r="B6">
        <v>23</v>
      </c>
      <c r="C6" t="s">
        <v>10</v>
      </c>
      <c r="D6">
        <v>2026</v>
      </c>
      <c r="E6" t="s">
        <v>7</v>
      </c>
      <c r="F6">
        <v>0</v>
      </c>
      <c r="G6" t="str">
        <f t="shared" si="0"/>
        <v>Young</v>
      </c>
      <c r="H6" s="1" t="s">
        <v>13</v>
      </c>
      <c r="I6" s="4">
        <f>I4*I5</f>
        <v>1496.2399999999998</v>
      </c>
    </row>
    <row r="7" spans="1:9" x14ac:dyDescent="0.25">
      <c r="A7">
        <v>6</v>
      </c>
      <c r="B7">
        <v>72</v>
      </c>
      <c r="C7" t="s">
        <v>10</v>
      </c>
      <c r="D7">
        <v>2804</v>
      </c>
      <c r="E7" t="s">
        <v>7</v>
      </c>
      <c r="F7">
        <v>0</v>
      </c>
      <c r="G7" t="str">
        <f t="shared" si="0"/>
        <v>Senior</v>
      </c>
    </row>
    <row r="8" spans="1:9" x14ac:dyDescent="0.25">
      <c r="A8">
        <v>7</v>
      </c>
      <c r="B8">
        <v>19</v>
      </c>
      <c r="C8" t="s">
        <v>10</v>
      </c>
      <c r="D8">
        <v>2112</v>
      </c>
      <c r="E8" t="s">
        <v>7</v>
      </c>
      <c r="F8">
        <v>0</v>
      </c>
      <c r="G8" t="str">
        <f t="shared" si="0"/>
        <v>Young</v>
      </c>
    </row>
    <row r="9" spans="1:9" x14ac:dyDescent="0.25">
      <c r="A9">
        <v>8</v>
      </c>
      <c r="B9">
        <v>31</v>
      </c>
      <c r="C9" t="s">
        <v>11</v>
      </c>
      <c r="D9">
        <v>1594</v>
      </c>
      <c r="E9" t="s">
        <v>7</v>
      </c>
      <c r="F9">
        <v>0</v>
      </c>
      <c r="G9" t="str">
        <f t="shared" si="0"/>
        <v>Middle</v>
      </c>
    </row>
    <row r="10" spans="1:9" x14ac:dyDescent="0.25">
      <c r="A10">
        <v>9</v>
      </c>
      <c r="B10">
        <v>74</v>
      </c>
      <c r="C10" t="s">
        <v>11</v>
      </c>
      <c r="D10">
        <v>2058</v>
      </c>
      <c r="E10" t="s">
        <v>7</v>
      </c>
      <c r="F10">
        <v>0</v>
      </c>
      <c r="G10" t="str">
        <f t="shared" si="0"/>
        <v>Senior</v>
      </c>
    </row>
    <row r="11" spans="1:9" x14ac:dyDescent="0.25">
      <c r="A11">
        <v>10</v>
      </c>
      <c r="B11">
        <v>75</v>
      </c>
      <c r="C11" t="s">
        <v>12</v>
      </c>
      <c r="D11">
        <v>2416</v>
      </c>
      <c r="E11" t="s">
        <v>7</v>
      </c>
      <c r="F11">
        <v>0</v>
      </c>
      <c r="G11" t="str">
        <f t="shared" si="0"/>
        <v>Senior</v>
      </c>
    </row>
    <row r="12" spans="1:9" x14ac:dyDescent="0.25">
      <c r="A12">
        <v>11</v>
      </c>
      <c r="B12">
        <v>24</v>
      </c>
      <c r="C12" t="s">
        <v>6</v>
      </c>
      <c r="D12">
        <v>944</v>
      </c>
      <c r="E12" t="s">
        <v>7</v>
      </c>
      <c r="F12">
        <v>0</v>
      </c>
      <c r="G12" t="str">
        <f t="shared" si="0"/>
        <v>Young</v>
      </c>
    </row>
    <row r="13" spans="1:9" x14ac:dyDescent="0.25">
      <c r="A13">
        <v>12</v>
      </c>
      <c r="B13">
        <v>25</v>
      </c>
      <c r="C13" t="s">
        <v>6</v>
      </c>
      <c r="D13">
        <v>2949</v>
      </c>
      <c r="E13" t="s">
        <v>7</v>
      </c>
      <c r="F13">
        <v>0</v>
      </c>
      <c r="G13" t="str">
        <f t="shared" si="0"/>
        <v>Young</v>
      </c>
    </row>
    <row r="14" spans="1:9" x14ac:dyDescent="0.25">
      <c r="A14">
        <v>13</v>
      </c>
      <c r="B14">
        <v>35</v>
      </c>
      <c r="C14" t="s">
        <v>10</v>
      </c>
      <c r="D14">
        <v>1987</v>
      </c>
      <c r="E14" t="s">
        <v>8</v>
      </c>
      <c r="F14">
        <v>6976</v>
      </c>
      <c r="G14" t="str">
        <f t="shared" si="0"/>
        <v>Middle</v>
      </c>
    </row>
    <row r="15" spans="1:9" x14ac:dyDescent="0.25">
      <c r="A15">
        <v>14</v>
      </c>
      <c r="B15">
        <v>77</v>
      </c>
      <c r="C15" t="s">
        <v>6</v>
      </c>
      <c r="D15">
        <v>895</v>
      </c>
      <c r="E15" t="s">
        <v>7</v>
      </c>
      <c r="F15">
        <v>0</v>
      </c>
      <c r="G15" t="str">
        <f t="shared" si="0"/>
        <v>Senior</v>
      </c>
    </row>
    <row r="16" spans="1:9" x14ac:dyDescent="0.25">
      <c r="A16">
        <v>15</v>
      </c>
      <c r="B16">
        <v>44</v>
      </c>
      <c r="C16" t="s">
        <v>6</v>
      </c>
      <c r="D16">
        <v>1216</v>
      </c>
      <c r="E16" t="s">
        <v>7</v>
      </c>
      <c r="F16">
        <v>0</v>
      </c>
      <c r="G16" t="str">
        <f t="shared" si="0"/>
        <v>Middle</v>
      </c>
    </row>
    <row r="17" spans="1:7" x14ac:dyDescent="0.25">
      <c r="A17">
        <v>16</v>
      </c>
      <c r="B17">
        <v>67</v>
      </c>
      <c r="C17" t="s">
        <v>10</v>
      </c>
      <c r="D17">
        <v>2227</v>
      </c>
      <c r="E17" t="s">
        <v>8</v>
      </c>
      <c r="F17">
        <v>17363</v>
      </c>
      <c r="G17" t="str">
        <f t="shared" si="0"/>
        <v>Senior</v>
      </c>
    </row>
    <row r="18" spans="1:7" x14ac:dyDescent="0.25">
      <c r="A18">
        <v>17</v>
      </c>
      <c r="B18">
        <v>60</v>
      </c>
      <c r="C18" t="s">
        <v>9</v>
      </c>
      <c r="D18">
        <v>833</v>
      </c>
      <c r="E18" t="s">
        <v>7</v>
      </c>
      <c r="F18">
        <v>0</v>
      </c>
      <c r="G18" t="str">
        <f t="shared" si="0"/>
        <v>Senior</v>
      </c>
    </row>
    <row r="19" spans="1:7" x14ac:dyDescent="0.25">
      <c r="A19">
        <v>18</v>
      </c>
      <c r="B19">
        <v>32</v>
      </c>
      <c r="C19" t="s">
        <v>12</v>
      </c>
      <c r="D19">
        <v>970</v>
      </c>
      <c r="E19" t="s">
        <v>7</v>
      </c>
      <c r="F19">
        <v>0</v>
      </c>
      <c r="G19" t="str">
        <f t="shared" si="0"/>
        <v>Middle</v>
      </c>
    </row>
    <row r="20" spans="1:7" x14ac:dyDescent="0.25">
      <c r="A20">
        <v>19</v>
      </c>
      <c r="B20">
        <v>31</v>
      </c>
      <c r="C20" t="s">
        <v>12</v>
      </c>
      <c r="D20">
        <v>1977</v>
      </c>
      <c r="E20" t="s">
        <v>7</v>
      </c>
      <c r="F20">
        <v>0</v>
      </c>
      <c r="G20" t="str">
        <f t="shared" si="0"/>
        <v>Middle</v>
      </c>
    </row>
    <row r="21" spans="1:7" x14ac:dyDescent="0.25">
      <c r="A21">
        <v>20</v>
      </c>
      <c r="B21">
        <v>28</v>
      </c>
      <c r="C21" t="s">
        <v>10</v>
      </c>
      <c r="D21">
        <v>865</v>
      </c>
      <c r="E21" t="s">
        <v>7</v>
      </c>
      <c r="F21">
        <v>0</v>
      </c>
      <c r="G21" t="str">
        <f t="shared" si="0"/>
        <v>Young</v>
      </c>
    </row>
    <row r="22" spans="1:7" x14ac:dyDescent="0.25">
      <c r="A22">
        <v>21</v>
      </c>
      <c r="B22">
        <v>31</v>
      </c>
      <c r="C22" t="s">
        <v>12</v>
      </c>
      <c r="D22">
        <v>2705</v>
      </c>
      <c r="E22" t="s">
        <v>7</v>
      </c>
      <c r="F22">
        <v>0</v>
      </c>
      <c r="G22" t="str">
        <f t="shared" si="0"/>
        <v>Middle</v>
      </c>
    </row>
    <row r="23" spans="1:7" x14ac:dyDescent="0.25">
      <c r="A23">
        <v>22</v>
      </c>
      <c r="B23">
        <v>62</v>
      </c>
      <c r="C23" t="s">
        <v>12</v>
      </c>
      <c r="D23">
        <v>2403</v>
      </c>
      <c r="E23" t="s">
        <v>7</v>
      </c>
      <c r="F23">
        <v>0</v>
      </c>
      <c r="G23" t="str">
        <f t="shared" si="0"/>
        <v>Senior</v>
      </c>
    </row>
    <row r="24" spans="1:7" x14ac:dyDescent="0.25">
      <c r="A24">
        <v>23</v>
      </c>
      <c r="B24">
        <v>28</v>
      </c>
      <c r="C24" t="s">
        <v>12</v>
      </c>
      <c r="D24">
        <v>2872</v>
      </c>
      <c r="E24" t="s">
        <v>8</v>
      </c>
      <c r="F24">
        <v>15680</v>
      </c>
      <c r="G24" t="str">
        <f t="shared" si="0"/>
        <v>Young</v>
      </c>
    </row>
    <row r="25" spans="1:7" x14ac:dyDescent="0.25">
      <c r="A25">
        <v>24</v>
      </c>
      <c r="B25">
        <v>78</v>
      </c>
      <c r="C25" t="s">
        <v>9</v>
      </c>
      <c r="D25">
        <v>2960</v>
      </c>
      <c r="E25" t="s">
        <v>7</v>
      </c>
      <c r="F25">
        <v>0</v>
      </c>
      <c r="G25" t="str">
        <f t="shared" si="0"/>
        <v>Senior</v>
      </c>
    </row>
    <row r="26" spans="1:7" x14ac:dyDescent="0.25">
      <c r="A26">
        <v>25</v>
      </c>
      <c r="B26">
        <v>68</v>
      </c>
      <c r="C26" t="s">
        <v>11</v>
      </c>
      <c r="D26">
        <v>1054</v>
      </c>
      <c r="E26" t="s">
        <v>7</v>
      </c>
      <c r="F26">
        <v>0</v>
      </c>
      <c r="G26" t="str">
        <f t="shared" si="0"/>
        <v>Senior</v>
      </c>
    </row>
    <row r="27" spans="1:7" x14ac:dyDescent="0.25">
      <c r="A27">
        <v>26</v>
      </c>
      <c r="B27">
        <v>31</v>
      </c>
      <c r="C27" t="s">
        <v>10</v>
      </c>
      <c r="D27">
        <v>1588</v>
      </c>
      <c r="E27" t="s">
        <v>8</v>
      </c>
      <c r="F27">
        <v>3879</v>
      </c>
      <c r="G27" t="str">
        <f t="shared" si="0"/>
        <v>Middle</v>
      </c>
    </row>
    <row r="28" spans="1:7" x14ac:dyDescent="0.25">
      <c r="A28">
        <v>27</v>
      </c>
      <c r="B28">
        <v>46</v>
      </c>
      <c r="C28" t="s">
        <v>12</v>
      </c>
      <c r="D28">
        <v>2506</v>
      </c>
      <c r="E28" t="s">
        <v>7</v>
      </c>
      <c r="F28">
        <v>0</v>
      </c>
      <c r="G28" t="str">
        <f t="shared" si="0"/>
        <v>Middle</v>
      </c>
    </row>
    <row r="29" spans="1:7" x14ac:dyDescent="0.25">
      <c r="A29">
        <v>28</v>
      </c>
      <c r="B29">
        <v>52</v>
      </c>
      <c r="C29" t="s">
        <v>11</v>
      </c>
      <c r="D29">
        <v>976</v>
      </c>
      <c r="E29" t="s">
        <v>7</v>
      </c>
      <c r="F29">
        <v>0</v>
      </c>
      <c r="G29" t="str">
        <f t="shared" si="0"/>
        <v>Senior</v>
      </c>
    </row>
    <row r="30" spans="1:7" x14ac:dyDescent="0.25">
      <c r="A30">
        <v>29</v>
      </c>
      <c r="B30">
        <v>79</v>
      </c>
      <c r="C30" t="s">
        <v>11</v>
      </c>
      <c r="D30">
        <v>2490</v>
      </c>
      <c r="E30" t="s">
        <v>7</v>
      </c>
      <c r="F30">
        <v>0</v>
      </c>
      <c r="G30" t="str">
        <f t="shared" si="0"/>
        <v>Senior</v>
      </c>
    </row>
    <row r="31" spans="1:7" x14ac:dyDescent="0.25">
      <c r="A31">
        <v>30</v>
      </c>
      <c r="B31">
        <v>74</v>
      </c>
      <c r="C31" t="s">
        <v>9</v>
      </c>
      <c r="D31">
        <v>1783</v>
      </c>
      <c r="E31" t="s">
        <v>7</v>
      </c>
      <c r="F31">
        <v>0</v>
      </c>
      <c r="G31" t="str">
        <f t="shared" si="0"/>
        <v>Senior</v>
      </c>
    </row>
    <row r="32" spans="1:7" x14ac:dyDescent="0.25">
      <c r="A32">
        <v>31</v>
      </c>
      <c r="B32">
        <v>28</v>
      </c>
      <c r="C32" t="s">
        <v>11</v>
      </c>
      <c r="D32">
        <v>1280</v>
      </c>
      <c r="E32" t="s">
        <v>7</v>
      </c>
      <c r="F32">
        <v>0</v>
      </c>
      <c r="G32" t="str">
        <f t="shared" si="0"/>
        <v>Young</v>
      </c>
    </row>
    <row r="33" spans="1:7" x14ac:dyDescent="0.25">
      <c r="A33">
        <v>32</v>
      </c>
      <c r="B33">
        <v>38</v>
      </c>
      <c r="C33" t="s">
        <v>11</v>
      </c>
      <c r="D33">
        <v>2946</v>
      </c>
      <c r="E33" t="s">
        <v>8</v>
      </c>
      <c r="F33">
        <v>17631</v>
      </c>
      <c r="G33" t="str">
        <f t="shared" si="0"/>
        <v>Middle</v>
      </c>
    </row>
    <row r="34" spans="1:7" x14ac:dyDescent="0.25">
      <c r="A34">
        <v>33</v>
      </c>
      <c r="B34">
        <v>20</v>
      </c>
      <c r="C34" t="s">
        <v>12</v>
      </c>
      <c r="D34">
        <v>2653</v>
      </c>
      <c r="E34" t="s">
        <v>7</v>
      </c>
      <c r="F34">
        <v>0</v>
      </c>
      <c r="G34" t="str">
        <f t="shared" si="0"/>
        <v>Young</v>
      </c>
    </row>
    <row r="35" spans="1:7" x14ac:dyDescent="0.25">
      <c r="A35">
        <v>34</v>
      </c>
      <c r="B35">
        <v>63</v>
      </c>
      <c r="C35" t="s">
        <v>10</v>
      </c>
      <c r="D35">
        <v>2742</v>
      </c>
      <c r="E35" t="s">
        <v>7</v>
      </c>
      <c r="F35">
        <v>0</v>
      </c>
      <c r="G35" t="str">
        <f t="shared" si="0"/>
        <v>Senior</v>
      </c>
    </row>
    <row r="36" spans="1:7" x14ac:dyDescent="0.25">
      <c r="A36">
        <v>35</v>
      </c>
      <c r="B36">
        <v>55</v>
      </c>
      <c r="C36" t="s">
        <v>12</v>
      </c>
      <c r="D36">
        <v>2894</v>
      </c>
      <c r="E36" t="s">
        <v>7</v>
      </c>
      <c r="F36">
        <v>0</v>
      </c>
      <c r="G36" t="str">
        <f t="shared" si="0"/>
        <v>Senior</v>
      </c>
    </row>
    <row r="37" spans="1:7" x14ac:dyDescent="0.25">
      <c r="A37">
        <v>36</v>
      </c>
      <c r="B37">
        <v>39</v>
      </c>
      <c r="C37" t="s">
        <v>6</v>
      </c>
      <c r="D37">
        <v>2895</v>
      </c>
      <c r="E37" t="s">
        <v>7</v>
      </c>
      <c r="F37">
        <v>0</v>
      </c>
      <c r="G37" t="str">
        <f t="shared" si="0"/>
        <v>Middle</v>
      </c>
    </row>
    <row r="38" spans="1:7" x14ac:dyDescent="0.25">
      <c r="A38">
        <v>37</v>
      </c>
      <c r="B38">
        <v>78</v>
      </c>
      <c r="C38" t="s">
        <v>6</v>
      </c>
      <c r="D38">
        <v>1815</v>
      </c>
      <c r="E38" t="s">
        <v>7</v>
      </c>
      <c r="F38">
        <v>0</v>
      </c>
      <c r="G38" t="str">
        <f t="shared" si="0"/>
        <v>Senior</v>
      </c>
    </row>
    <row r="39" spans="1:7" x14ac:dyDescent="0.25">
      <c r="A39">
        <v>38</v>
      </c>
      <c r="B39">
        <v>40</v>
      </c>
      <c r="C39" t="s">
        <v>6</v>
      </c>
      <c r="D39">
        <v>1919</v>
      </c>
      <c r="E39" t="s">
        <v>7</v>
      </c>
      <c r="F39">
        <v>0</v>
      </c>
      <c r="G39" t="str">
        <f t="shared" si="0"/>
        <v>Middle</v>
      </c>
    </row>
    <row r="40" spans="1:7" x14ac:dyDescent="0.25">
      <c r="A40">
        <v>39</v>
      </c>
      <c r="B40">
        <v>36</v>
      </c>
      <c r="C40" t="s">
        <v>12</v>
      </c>
      <c r="D40">
        <v>2979</v>
      </c>
      <c r="E40" t="s">
        <v>7</v>
      </c>
      <c r="F40">
        <v>0</v>
      </c>
      <c r="G40" t="str">
        <f t="shared" si="0"/>
        <v>Middle</v>
      </c>
    </row>
    <row r="41" spans="1:7" x14ac:dyDescent="0.25">
      <c r="A41">
        <v>40</v>
      </c>
      <c r="B41">
        <v>41</v>
      </c>
      <c r="C41" t="s">
        <v>10</v>
      </c>
      <c r="D41">
        <v>2072</v>
      </c>
      <c r="E41" t="s">
        <v>7</v>
      </c>
      <c r="F41">
        <v>0</v>
      </c>
      <c r="G41" t="str">
        <f t="shared" si="0"/>
        <v>Middle</v>
      </c>
    </row>
    <row r="42" spans="1:7" x14ac:dyDescent="0.25">
      <c r="A42">
        <v>41</v>
      </c>
      <c r="B42">
        <v>57</v>
      </c>
      <c r="C42" t="s">
        <v>9</v>
      </c>
      <c r="D42">
        <v>1294</v>
      </c>
      <c r="E42" t="s">
        <v>7</v>
      </c>
      <c r="F42">
        <v>0</v>
      </c>
      <c r="G42" t="str">
        <f t="shared" si="0"/>
        <v>Senior</v>
      </c>
    </row>
    <row r="43" spans="1:7" x14ac:dyDescent="0.25">
      <c r="A43">
        <v>42</v>
      </c>
      <c r="B43">
        <v>78</v>
      </c>
      <c r="C43" t="s">
        <v>12</v>
      </c>
      <c r="D43">
        <v>2365</v>
      </c>
      <c r="E43" t="s">
        <v>7</v>
      </c>
      <c r="F43">
        <v>0</v>
      </c>
      <c r="G43" t="str">
        <f t="shared" si="0"/>
        <v>Senior</v>
      </c>
    </row>
    <row r="44" spans="1:7" x14ac:dyDescent="0.25">
      <c r="A44">
        <v>43</v>
      </c>
      <c r="B44">
        <v>32</v>
      </c>
      <c r="C44" t="s">
        <v>12</v>
      </c>
      <c r="D44">
        <v>2613</v>
      </c>
      <c r="E44" t="s">
        <v>7</v>
      </c>
      <c r="F44">
        <v>0</v>
      </c>
      <c r="G44" t="str">
        <f t="shared" si="0"/>
        <v>Middle</v>
      </c>
    </row>
    <row r="45" spans="1:7" x14ac:dyDescent="0.25">
      <c r="A45">
        <v>44</v>
      </c>
      <c r="B45">
        <v>38</v>
      </c>
      <c r="C45" t="s">
        <v>12</v>
      </c>
      <c r="D45">
        <v>1075</v>
      </c>
      <c r="E45" t="s">
        <v>7</v>
      </c>
      <c r="F45">
        <v>0</v>
      </c>
      <c r="G45" t="str">
        <f t="shared" si="0"/>
        <v>Middle</v>
      </c>
    </row>
    <row r="46" spans="1:7" x14ac:dyDescent="0.25">
      <c r="A46">
        <v>45</v>
      </c>
      <c r="B46">
        <v>62</v>
      </c>
      <c r="C46" t="s">
        <v>10</v>
      </c>
      <c r="D46">
        <v>1527</v>
      </c>
      <c r="E46" t="s">
        <v>7</v>
      </c>
      <c r="F46">
        <v>0</v>
      </c>
      <c r="G46" t="str">
        <f t="shared" si="0"/>
        <v>Senior</v>
      </c>
    </row>
    <row r="47" spans="1:7" x14ac:dyDescent="0.25">
      <c r="A47">
        <v>46</v>
      </c>
      <c r="B47">
        <v>46</v>
      </c>
      <c r="C47" t="s">
        <v>10</v>
      </c>
      <c r="D47">
        <v>2551</v>
      </c>
      <c r="E47" t="s">
        <v>7</v>
      </c>
      <c r="F47">
        <v>0</v>
      </c>
      <c r="G47" t="str">
        <f t="shared" si="0"/>
        <v>Middle</v>
      </c>
    </row>
    <row r="48" spans="1:7" x14ac:dyDescent="0.25">
      <c r="A48">
        <v>47</v>
      </c>
      <c r="B48">
        <v>38</v>
      </c>
      <c r="C48" t="s">
        <v>10</v>
      </c>
      <c r="D48">
        <v>1236</v>
      </c>
      <c r="E48" t="s">
        <v>7</v>
      </c>
      <c r="F48">
        <v>0</v>
      </c>
      <c r="G48" t="str">
        <f t="shared" si="0"/>
        <v>Middle</v>
      </c>
    </row>
    <row r="49" spans="1:7" x14ac:dyDescent="0.25">
      <c r="A49">
        <v>48</v>
      </c>
      <c r="B49">
        <v>68</v>
      </c>
      <c r="C49" t="s">
        <v>10</v>
      </c>
      <c r="D49">
        <v>2547</v>
      </c>
      <c r="E49" t="s">
        <v>7</v>
      </c>
      <c r="F49">
        <v>0</v>
      </c>
      <c r="G49" t="str">
        <f t="shared" si="0"/>
        <v>Senior</v>
      </c>
    </row>
    <row r="50" spans="1:7" x14ac:dyDescent="0.25">
      <c r="A50">
        <v>49</v>
      </c>
      <c r="B50">
        <v>64</v>
      </c>
      <c r="C50" t="s">
        <v>6</v>
      </c>
      <c r="D50">
        <v>1381</v>
      </c>
      <c r="E50" t="s">
        <v>7</v>
      </c>
      <c r="F50">
        <v>0</v>
      </c>
      <c r="G50" t="str">
        <f t="shared" si="0"/>
        <v>Senior</v>
      </c>
    </row>
    <row r="51" spans="1:7" x14ac:dyDescent="0.25">
      <c r="A51">
        <v>50</v>
      </c>
      <c r="B51">
        <v>33</v>
      </c>
      <c r="C51" t="s">
        <v>12</v>
      </c>
      <c r="D51">
        <v>2011</v>
      </c>
      <c r="E51" t="s">
        <v>7</v>
      </c>
      <c r="F51">
        <v>0</v>
      </c>
      <c r="G51" t="str">
        <f t="shared" si="0"/>
        <v>Middle</v>
      </c>
    </row>
    <row r="52" spans="1:7" x14ac:dyDescent="0.25">
      <c r="A52">
        <v>51</v>
      </c>
      <c r="B52">
        <v>41</v>
      </c>
      <c r="C52" t="s">
        <v>12</v>
      </c>
      <c r="D52">
        <v>1797</v>
      </c>
      <c r="E52" t="s">
        <v>7</v>
      </c>
      <c r="F52">
        <v>0</v>
      </c>
      <c r="G52" t="str">
        <f t="shared" si="0"/>
        <v>Middle</v>
      </c>
    </row>
    <row r="53" spans="1:7" x14ac:dyDescent="0.25">
      <c r="A53">
        <v>52</v>
      </c>
      <c r="B53">
        <v>62</v>
      </c>
      <c r="C53" t="s">
        <v>11</v>
      </c>
      <c r="D53">
        <v>2369</v>
      </c>
      <c r="E53" t="s">
        <v>7</v>
      </c>
      <c r="F53">
        <v>0</v>
      </c>
      <c r="G53" t="str">
        <f t="shared" si="0"/>
        <v>Senior</v>
      </c>
    </row>
    <row r="54" spans="1:7" x14ac:dyDescent="0.25">
      <c r="A54">
        <v>53</v>
      </c>
      <c r="B54">
        <v>56</v>
      </c>
      <c r="C54" t="s">
        <v>11</v>
      </c>
      <c r="D54">
        <v>2447</v>
      </c>
      <c r="E54" t="s">
        <v>7</v>
      </c>
      <c r="F54">
        <v>0</v>
      </c>
      <c r="G54" t="str">
        <f t="shared" si="0"/>
        <v>Senior</v>
      </c>
    </row>
    <row r="55" spans="1:7" x14ac:dyDescent="0.25">
      <c r="A55">
        <v>54</v>
      </c>
      <c r="B55">
        <v>62</v>
      </c>
      <c r="C55" t="s">
        <v>12</v>
      </c>
      <c r="D55">
        <v>2254</v>
      </c>
      <c r="E55" t="s">
        <v>7</v>
      </c>
      <c r="F55">
        <v>0</v>
      </c>
      <c r="G55" t="str">
        <f t="shared" si="0"/>
        <v>Senior</v>
      </c>
    </row>
    <row r="56" spans="1:7" x14ac:dyDescent="0.25">
      <c r="A56">
        <v>55</v>
      </c>
      <c r="B56">
        <v>26</v>
      </c>
      <c r="C56" t="s">
        <v>6</v>
      </c>
      <c r="D56">
        <v>2752</v>
      </c>
      <c r="E56" t="s">
        <v>7</v>
      </c>
      <c r="F56">
        <v>0</v>
      </c>
      <c r="G56" t="str">
        <f t="shared" si="0"/>
        <v>Young</v>
      </c>
    </row>
    <row r="57" spans="1:7" x14ac:dyDescent="0.25">
      <c r="A57">
        <v>56</v>
      </c>
      <c r="B57">
        <v>23</v>
      </c>
      <c r="C57" t="s">
        <v>11</v>
      </c>
      <c r="D57">
        <v>2749</v>
      </c>
      <c r="E57" t="s">
        <v>7</v>
      </c>
      <c r="F57">
        <v>0</v>
      </c>
      <c r="G57" t="str">
        <f t="shared" si="0"/>
        <v>Young</v>
      </c>
    </row>
    <row r="58" spans="1:7" x14ac:dyDescent="0.25">
      <c r="A58">
        <v>57</v>
      </c>
      <c r="B58">
        <v>64</v>
      </c>
      <c r="C58" t="s">
        <v>9</v>
      </c>
      <c r="D58">
        <v>1829</v>
      </c>
      <c r="E58" t="s">
        <v>7</v>
      </c>
      <c r="F58">
        <v>0</v>
      </c>
      <c r="G58" t="str">
        <f t="shared" si="0"/>
        <v>Senior</v>
      </c>
    </row>
    <row r="59" spans="1:7" x14ac:dyDescent="0.25">
      <c r="A59">
        <v>58</v>
      </c>
      <c r="B59">
        <v>71</v>
      </c>
      <c r="C59" t="s">
        <v>11</v>
      </c>
      <c r="D59">
        <v>936</v>
      </c>
      <c r="E59" t="s">
        <v>7</v>
      </c>
      <c r="F59">
        <v>0</v>
      </c>
      <c r="G59" t="str">
        <f t="shared" si="0"/>
        <v>Senior</v>
      </c>
    </row>
    <row r="60" spans="1:7" x14ac:dyDescent="0.25">
      <c r="A60">
        <v>59</v>
      </c>
      <c r="B60">
        <v>21</v>
      </c>
      <c r="C60" t="s">
        <v>9</v>
      </c>
      <c r="D60">
        <v>2987</v>
      </c>
      <c r="E60" t="s">
        <v>7</v>
      </c>
      <c r="F60">
        <v>0</v>
      </c>
      <c r="G60" t="str">
        <f t="shared" si="0"/>
        <v>Young</v>
      </c>
    </row>
    <row r="61" spans="1:7" x14ac:dyDescent="0.25">
      <c r="A61">
        <v>60</v>
      </c>
      <c r="B61">
        <v>30</v>
      </c>
      <c r="C61" t="s">
        <v>12</v>
      </c>
      <c r="D61">
        <v>1803</v>
      </c>
      <c r="E61" t="s">
        <v>7</v>
      </c>
      <c r="F61">
        <v>0</v>
      </c>
      <c r="G61" t="str">
        <f t="shared" si="0"/>
        <v>Middle</v>
      </c>
    </row>
    <row r="62" spans="1:7" x14ac:dyDescent="0.25">
      <c r="A62">
        <v>61</v>
      </c>
      <c r="B62">
        <v>21</v>
      </c>
      <c r="C62" t="s">
        <v>9</v>
      </c>
      <c r="D62">
        <v>1713</v>
      </c>
      <c r="E62" t="s">
        <v>7</v>
      </c>
      <c r="F62">
        <v>0</v>
      </c>
      <c r="G62" t="str">
        <f t="shared" si="0"/>
        <v>Young</v>
      </c>
    </row>
    <row r="63" spans="1:7" x14ac:dyDescent="0.25">
      <c r="A63">
        <v>62</v>
      </c>
      <c r="B63">
        <v>21</v>
      </c>
      <c r="C63" t="s">
        <v>11</v>
      </c>
      <c r="D63">
        <v>2440</v>
      </c>
      <c r="E63" t="s">
        <v>7</v>
      </c>
      <c r="F63">
        <v>0</v>
      </c>
      <c r="G63" t="str">
        <f t="shared" si="0"/>
        <v>Young</v>
      </c>
    </row>
    <row r="64" spans="1:7" x14ac:dyDescent="0.25">
      <c r="A64">
        <v>63</v>
      </c>
      <c r="B64">
        <v>49</v>
      </c>
      <c r="C64" t="s">
        <v>11</v>
      </c>
      <c r="D64">
        <v>2154</v>
      </c>
      <c r="E64" t="s">
        <v>7</v>
      </c>
      <c r="F64">
        <v>0</v>
      </c>
      <c r="G64" t="str">
        <f t="shared" si="0"/>
        <v>Middle</v>
      </c>
    </row>
    <row r="65" spans="1:7" x14ac:dyDescent="0.25">
      <c r="A65">
        <v>64</v>
      </c>
      <c r="B65">
        <v>32</v>
      </c>
      <c r="C65" t="s">
        <v>6</v>
      </c>
      <c r="D65">
        <v>832</v>
      </c>
      <c r="E65" t="s">
        <v>7</v>
      </c>
      <c r="F65">
        <v>0</v>
      </c>
      <c r="G65" t="str">
        <f t="shared" si="0"/>
        <v>Middle</v>
      </c>
    </row>
    <row r="66" spans="1:7" x14ac:dyDescent="0.25">
      <c r="A66">
        <v>65</v>
      </c>
      <c r="B66">
        <v>74</v>
      </c>
      <c r="C66" t="s">
        <v>11</v>
      </c>
      <c r="D66">
        <v>1919</v>
      </c>
      <c r="E66" t="s">
        <v>7</v>
      </c>
      <c r="F66">
        <v>0</v>
      </c>
      <c r="G66" t="str">
        <f t="shared" si="0"/>
        <v>Senior</v>
      </c>
    </row>
    <row r="67" spans="1:7" x14ac:dyDescent="0.25">
      <c r="A67">
        <v>66</v>
      </c>
      <c r="B67">
        <v>49</v>
      </c>
      <c r="C67" t="s">
        <v>10</v>
      </c>
      <c r="D67">
        <v>2009</v>
      </c>
      <c r="E67" t="s">
        <v>7</v>
      </c>
      <c r="F67">
        <v>0</v>
      </c>
      <c r="G67" t="str">
        <f t="shared" ref="G67:G130" si="1">IF(B67&lt;30,"Young",IF(B67&lt;50,"Middle","Senior"))</f>
        <v>Middle</v>
      </c>
    </row>
    <row r="68" spans="1:7" x14ac:dyDescent="0.25">
      <c r="A68">
        <v>67</v>
      </c>
      <c r="B68">
        <v>60</v>
      </c>
      <c r="C68" t="s">
        <v>11</v>
      </c>
      <c r="D68">
        <v>2193</v>
      </c>
      <c r="E68" t="s">
        <v>7</v>
      </c>
      <c r="F68">
        <v>0</v>
      </c>
      <c r="G68" t="str">
        <f t="shared" si="1"/>
        <v>Senior</v>
      </c>
    </row>
    <row r="69" spans="1:7" x14ac:dyDescent="0.25">
      <c r="A69">
        <v>68</v>
      </c>
      <c r="B69">
        <v>52</v>
      </c>
      <c r="C69" t="s">
        <v>11</v>
      </c>
      <c r="D69">
        <v>1503</v>
      </c>
      <c r="E69" t="s">
        <v>7</v>
      </c>
      <c r="F69">
        <v>0</v>
      </c>
      <c r="G69" t="str">
        <f t="shared" si="1"/>
        <v>Senior</v>
      </c>
    </row>
    <row r="70" spans="1:7" x14ac:dyDescent="0.25">
      <c r="A70">
        <v>69</v>
      </c>
      <c r="B70">
        <v>46</v>
      </c>
      <c r="C70" t="s">
        <v>9</v>
      </c>
      <c r="D70">
        <v>2109</v>
      </c>
      <c r="E70" t="s">
        <v>7</v>
      </c>
      <c r="F70">
        <v>0</v>
      </c>
      <c r="G70" t="str">
        <f t="shared" si="1"/>
        <v>Middle</v>
      </c>
    </row>
    <row r="71" spans="1:7" x14ac:dyDescent="0.25">
      <c r="A71">
        <v>70</v>
      </c>
      <c r="B71">
        <v>24</v>
      </c>
      <c r="C71" t="s">
        <v>11</v>
      </c>
      <c r="D71">
        <v>1285</v>
      </c>
      <c r="E71" t="s">
        <v>7</v>
      </c>
      <c r="F71">
        <v>0</v>
      </c>
      <c r="G71" t="str">
        <f t="shared" si="1"/>
        <v>Young</v>
      </c>
    </row>
    <row r="72" spans="1:7" x14ac:dyDescent="0.25">
      <c r="A72">
        <v>71</v>
      </c>
      <c r="B72">
        <v>68</v>
      </c>
      <c r="C72" t="s">
        <v>6</v>
      </c>
      <c r="D72">
        <v>1564</v>
      </c>
      <c r="E72" t="s">
        <v>7</v>
      </c>
      <c r="F72">
        <v>0</v>
      </c>
      <c r="G72" t="str">
        <f t="shared" si="1"/>
        <v>Senior</v>
      </c>
    </row>
    <row r="73" spans="1:7" x14ac:dyDescent="0.25">
      <c r="A73">
        <v>72</v>
      </c>
      <c r="B73">
        <v>63</v>
      </c>
      <c r="C73" t="s">
        <v>6</v>
      </c>
      <c r="D73">
        <v>1483</v>
      </c>
      <c r="E73" t="s">
        <v>7</v>
      </c>
      <c r="F73">
        <v>0</v>
      </c>
      <c r="G73" t="str">
        <f t="shared" si="1"/>
        <v>Senior</v>
      </c>
    </row>
    <row r="74" spans="1:7" x14ac:dyDescent="0.25">
      <c r="A74">
        <v>73</v>
      </c>
      <c r="B74">
        <v>68</v>
      </c>
      <c r="C74" t="s">
        <v>11</v>
      </c>
      <c r="D74">
        <v>807</v>
      </c>
      <c r="E74" t="s">
        <v>7</v>
      </c>
      <c r="F74">
        <v>0</v>
      </c>
      <c r="G74" t="str">
        <f t="shared" si="1"/>
        <v>Senior</v>
      </c>
    </row>
    <row r="75" spans="1:7" x14ac:dyDescent="0.25">
      <c r="A75">
        <v>74</v>
      </c>
      <c r="B75">
        <v>56</v>
      </c>
      <c r="C75" t="s">
        <v>10</v>
      </c>
      <c r="D75">
        <v>2009</v>
      </c>
      <c r="E75" t="s">
        <v>7</v>
      </c>
      <c r="F75">
        <v>0</v>
      </c>
      <c r="G75" t="str">
        <f t="shared" si="1"/>
        <v>Senior</v>
      </c>
    </row>
    <row r="76" spans="1:7" x14ac:dyDescent="0.25">
      <c r="A76">
        <v>75</v>
      </c>
      <c r="B76">
        <v>25</v>
      </c>
      <c r="C76" t="s">
        <v>10</v>
      </c>
      <c r="D76">
        <v>2933</v>
      </c>
      <c r="E76" t="s">
        <v>7</v>
      </c>
      <c r="F76">
        <v>0</v>
      </c>
      <c r="G76" t="str">
        <f t="shared" si="1"/>
        <v>Young</v>
      </c>
    </row>
    <row r="77" spans="1:7" x14ac:dyDescent="0.25">
      <c r="A77">
        <v>76</v>
      </c>
      <c r="B77">
        <v>69</v>
      </c>
      <c r="C77" t="s">
        <v>9</v>
      </c>
      <c r="D77">
        <v>1496</v>
      </c>
      <c r="E77" t="s">
        <v>7</v>
      </c>
      <c r="F77">
        <v>0</v>
      </c>
      <c r="G77" t="str">
        <f t="shared" si="1"/>
        <v>Senior</v>
      </c>
    </row>
    <row r="78" spans="1:7" x14ac:dyDescent="0.25">
      <c r="A78">
        <v>77</v>
      </c>
      <c r="B78">
        <v>26</v>
      </c>
      <c r="C78" t="s">
        <v>12</v>
      </c>
      <c r="D78">
        <v>1498</v>
      </c>
      <c r="E78" t="s">
        <v>7</v>
      </c>
      <c r="F78">
        <v>0</v>
      </c>
      <c r="G78" t="str">
        <f t="shared" si="1"/>
        <v>Young</v>
      </c>
    </row>
    <row r="79" spans="1:7" x14ac:dyDescent="0.25">
      <c r="A79">
        <v>78</v>
      </c>
      <c r="B79">
        <v>35</v>
      </c>
      <c r="C79" t="s">
        <v>11</v>
      </c>
      <c r="D79">
        <v>1913</v>
      </c>
      <c r="E79" t="s">
        <v>7</v>
      </c>
      <c r="F79">
        <v>0</v>
      </c>
      <c r="G79" t="str">
        <f t="shared" si="1"/>
        <v>Middle</v>
      </c>
    </row>
    <row r="80" spans="1:7" x14ac:dyDescent="0.25">
      <c r="A80">
        <v>79</v>
      </c>
      <c r="B80">
        <v>52</v>
      </c>
      <c r="C80" t="s">
        <v>11</v>
      </c>
      <c r="D80">
        <v>1642</v>
      </c>
      <c r="E80" t="s">
        <v>7</v>
      </c>
      <c r="F80">
        <v>0</v>
      </c>
      <c r="G80" t="str">
        <f t="shared" si="1"/>
        <v>Senior</v>
      </c>
    </row>
    <row r="81" spans="1:7" x14ac:dyDescent="0.25">
      <c r="A81">
        <v>80</v>
      </c>
      <c r="B81">
        <v>56</v>
      </c>
      <c r="C81" t="s">
        <v>10</v>
      </c>
      <c r="D81">
        <v>907</v>
      </c>
      <c r="E81" t="s">
        <v>7</v>
      </c>
      <c r="F81">
        <v>0</v>
      </c>
      <c r="G81" t="str">
        <f t="shared" si="1"/>
        <v>Senior</v>
      </c>
    </row>
    <row r="82" spans="1:7" x14ac:dyDescent="0.25">
      <c r="A82">
        <v>81</v>
      </c>
      <c r="B82">
        <v>35</v>
      </c>
      <c r="C82" t="s">
        <v>9</v>
      </c>
      <c r="D82">
        <v>2177</v>
      </c>
      <c r="E82" t="s">
        <v>7</v>
      </c>
      <c r="F82">
        <v>0</v>
      </c>
      <c r="G82" t="str">
        <f t="shared" si="1"/>
        <v>Middle</v>
      </c>
    </row>
    <row r="83" spans="1:7" x14ac:dyDescent="0.25">
      <c r="A83">
        <v>82</v>
      </c>
      <c r="B83">
        <v>68</v>
      </c>
      <c r="C83" t="s">
        <v>12</v>
      </c>
      <c r="D83">
        <v>2238</v>
      </c>
      <c r="E83" t="s">
        <v>7</v>
      </c>
      <c r="F83">
        <v>0</v>
      </c>
      <c r="G83" t="str">
        <f t="shared" si="1"/>
        <v>Senior</v>
      </c>
    </row>
    <row r="84" spans="1:7" x14ac:dyDescent="0.25">
      <c r="A84">
        <v>83</v>
      </c>
      <c r="B84">
        <v>20</v>
      </c>
      <c r="C84" t="s">
        <v>11</v>
      </c>
      <c r="D84">
        <v>2785</v>
      </c>
      <c r="E84" t="s">
        <v>7</v>
      </c>
      <c r="F84">
        <v>0</v>
      </c>
      <c r="G84" t="str">
        <f t="shared" si="1"/>
        <v>Young</v>
      </c>
    </row>
    <row r="85" spans="1:7" x14ac:dyDescent="0.25">
      <c r="A85">
        <v>84</v>
      </c>
      <c r="B85">
        <v>28</v>
      </c>
      <c r="C85" t="s">
        <v>10</v>
      </c>
      <c r="D85">
        <v>1850</v>
      </c>
      <c r="E85" t="s">
        <v>7</v>
      </c>
      <c r="F85">
        <v>0</v>
      </c>
      <c r="G85" t="str">
        <f t="shared" si="1"/>
        <v>Young</v>
      </c>
    </row>
    <row r="86" spans="1:7" x14ac:dyDescent="0.25">
      <c r="A86">
        <v>85</v>
      </c>
      <c r="B86">
        <v>73</v>
      </c>
      <c r="C86" t="s">
        <v>6</v>
      </c>
      <c r="D86">
        <v>2547</v>
      </c>
      <c r="E86" t="s">
        <v>7</v>
      </c>
      <c r="F86">
        <v>0</v>
      </c>
      <c r="G86" t="str">
        <f t="shared" si="1"/>
        <v>Senior</v>
      </c>
    </row>
    <row r="87" spans="1:7" x14ac:dyDescent="0.25">
      <c r="A87">
        <v>86</v>
      </c>
      <c r="B87">
        <v>30</v>
      </c>
      <c r="C87" t="s">
        <v>6</v>
      </c>
      <c r="D87">
        <v>1093</v>
      </c>
      <c r="E87" t="s">
        <v>7</v>
      </c>
      <c r="F87">
        <v>0</v>
      </c>
      <c r="G87" t="str">
        <f t="shared" si="1"/>
        <v>Middle</v>
      </c>
    </row>
    <row r="88" spans="1:7" x14ac:dyDescent="0.25">
      <c r="A88">
        <v>87</v>
      </c>
      <c r="B88">
        <v>78</v>
      </c>
      <c r="C88" t="s">
        <v>10</v>
      </c>
      <c r="D88">
        <v>2651</v>
      </c>
      <c r="E88" t="s">
        <v>7</v>
      </c>
      <c r="F88">
        <v>0</v>
      </c>
      <c r="G88" t="str">
        <f t="shared" si="1"/>
        <v>Senior</v>
      </c>
    </row>
    <row r="89" spans="1:7" x14ac:dyDescent="0.25">
      <c r="A89">
        <v>88</v>
      </c>
      <c r="B89">
        <v>46</v>
      </c>
      <c r="C89" t="s">
        <v>12</v>
      </c>
      <c r="D89">
        <v>1203</v>
      </c>
      <c r="E89" t="s">
        <v>7</v>
      </c>
      <c r="F89">
        <v>0</v>
      </c>
      <c r="G89" t="str">
        <f t="shared" si="1"/>
        <v>Middle</v>
      </c>
    </row>
    <row r="90" spans="1:7" x14ac:dyDescent="0.25">
      <c r="A90">
        <v>89</v>
      </c>
      <c r="B90">
        <v>72</v>
      </c>
      <c r="C90" t="s">
        <v>12</v>
      </c>
      <c r="D90">
        <v>1674</v>
      </c>
      <c r="E90" t="s">
        <v>7</v>
      </c>
      <c r="F90">
        <v>0</v>
      </c>
      <c r="G90" t="str">
        <f t="shared" si="1"/>
        <v>Senior</v>
      </c>
    </row>
    <row r="91" spans="1:7" x14ac:dyDescent="0.25">
      <c r="A91">
        <v>90</v>
      </c>
      <c r="B91">
        <v>62</v>
      </c>
      <c r="C91" t="s">
        <v>11</v>
      </c>
      <c r="D91">
        <v>1756</v>
      </c>
      <c r="E91" t="s">
        <v>7</v>
      </c>
      <c r="F91">
        <v>0</v>
      </c>
      <c r="G91" t="str">
        <f t="shared" si="1"/>
        <v>Senior</v>
      </c>
    </row>
    <row r="92" spans="1:7" x14ac:dyDescent="0.25">
      <c r="A92">
        <v>91</v>
      </c>
      <c r="B92">
        <v>23</v>
      </c>
      <c r="C92" t="s">
        <v>12</v>
      </c>
      <c r="D92">
        <v>2322</v>
      </c>
      <c r="E92" t="s">
        <v>7</v>
      </c>
      <c r="F92">
        <v>0</v>
      </c>
      <c r="G92" t="str">
        <f t="shared" si="1"/>
        <v>Young</v>
      </c>
    </row>
    <row r="93" spans="1:7" x14ac:dyDescent="0.25">
      <c r="A93">
        <v>92</v>
      </c>
      <c r="B93">
        <v>55</v>
      </c>
      <c r="C93" t="s">
        <v>9</v>
      </c>
      <c r="D93">
        <v>2005</v>
      </c>
      <c r="E93" t="s">
        <v>7</v>
      </c>
      <c r="F93">
        <v>0</v>
      </c>
      <c r="G93" t="str">
        <f t="shared" si="1"/>
        <v>Senior</v>
      </c>
    </row>
    <row r="94" spans="1:7" x14ac:dyDescent="0.25">
      <c r="A94">
        <v>93</v>
      </c>
      <c r="B94">
        <v>65</v>
      </c>
      <c r="C94" t="s">
        <v>11</v>
      </c>
      <c r="D94">
        <v>1017</v>
      </c>
      <c r="E94" t="s">
        <v>7</v>
      </c>
      <c r="F94">
        <v>0</v>
      </c>
      <c r="G94" t="str">
        <f t="shared" si="1"/>
        <v>Senior</v>
      </c>
    </row>
    <row r="95" spans="1:7" x14ac:dyDescent="0.25">
      <c r="A95">
        <v>94</v>
      </c>
      <c r="B95">
        <v>35</v>
      </c>
      <c r="C95" t="s">
        <v>11</v>
      </c>
      <c r="D95">
        <v>2408</v>
      </c>
      <c r="E95" t="s">
        <v>7</v>
      </c>
      <c r="F95">
        <v>0</v>
      </c>
      <c r="G95" t="str">
        <f t="shared" si="1"/>
        <v>Middle</v>
      </c>
    </row>
    <row r="96" spans="1:7" x14ac:dyDescent="0.25">
      <c r="A96">
        <v>95</v>
      </c>
      <c r="B96">
        <v>75</v>
      </c>
      <c r="C96" t="s">
        <v>10</v>
      </c>
      <c r="D96">
        <v>2847</v>
      </c>
      <c r="E96" t="s">
        <v>7</v>
      </c>
      <c r="F96">
        <v>0</v>
      </c>
      <c r="G96" t="str">
        <f t="shared" si="1"/>
        <v>Senior</v>
      </c>
    </row>
    <row r="97" spans="1:7" x14ac:dyDescent="0.25">
      <c r="A97">
        <v>96</v>
      </c>
      <c r="B97">
        <v>35</v>
      </c>
      <c r="C97" t="s">
        <v>12</v>
      </c>
      <c r="D97">
        <v>2686</v>
      </c>
      <c r="E97" t="s">
        <v>7</v>
      </c>
      <c r="F97">
        <v>0</v>
      </c>
      <c r="G97" t="str">
        <f t="shared" si="1"/>
        <v>Middle</v>
      </c>
    </row>
    <row r="98" spans="1:7" x14ac:dyDescent="0.25">
      <c r="A98">
        <v>97</v>
      </c>
      <c r="B98">
        <v>74</v>
      </c>
      <c r="C98" t="s">
        <v>10</v>
      </c>
      <c r="D98">
        <v>2297</v>
      </c>
      <c r="E98" t="s">
        <v>7</v>
      </c>
      <c r="F98">
        <v>0</v>
      </c>
      <c r="G98" t="str">
        <f t="shared" si="1"/>
        <v>Senior</v>
      </c>
    </row>
    <row r="99" spans="1:7" x14ac:dyDescent="0.25">
      <c r="A99">
        <v>98</v>
      </c>
      <c r="B99">
        <v>43</v>
      </c>
      <c r="C99" t="s">
        <v>6</v>
      </c>
      <c r="D99">
        <v>2289</v>
      </c>
      <c r="E99" t="s">
        <v>7</v>
      </c>
      <c r="F99">
        <v>0</v>
      </c>
      <c r="G99" t="str">
        <f t="shared" si="1"/>
        <v>Middle</v>
      </c>
    </row>
    <row r="100" spans="1:7" x14ac:dyDescent="0.25">
      <c r="A100">
        <v>99</v>
      </c>
      <c r="B100">
        <v>71</v>
      </c>
      <c r="C100" t="s">
        <v>9</v>
      </c>
      <c r="D100">
        <v>2224</v>
      </c>
      <c r="E100" t="s">
        <v>7</v>
      </c>
      <c r="F100">
        <v>0</v>
      </c>
      <c r="G100" t="str">
        <f t="shared" si="1"/>
        <v>Senior</v>
      </c>
    </row>
    <row r="101" spans="1:7" x14ac:dyDescent="0.25">
      <c r="A101">
        <v>100</v>
      </c>
      <c r="B101">
        <v>35</v>
      </c>
      <c r="C101" t="s">
        <v>6</v>
      </c>
      <c r="D101">
        <v>1878</v>
      </c>
      <c r="E101" t="s">
        <v>7</v>
      </c>
      <c r="F101">
        <v>0</v>
      </c>
      <c r="G101" t="str">
        <f t="shared" si="1"/>
        <v>Middle</v>
      </c>
    </row>
    <row r="102" spans="1:7" x14ac:dyDescent="0.25">
      <c r="A102">
        <v>101</v>
      </c>
      <c r="B102">
        <v>25</v>
      </c>
      <c r="C102" t="s">
        <v>9</v>
      </c>
      <c r="D102">
        <v>1405</v>
      </c>
      <c r="E102" t="s">
        <v>7</v>
      </c>
      <c r="F102">
        <v>0</v>
      </c>
      <c r="G102" t="str">
        <f t="shared" si="1"/>
        <v>Young</v>
      </c>
    </row>
    <row r="103" spans="1:7" x14ac:dyDescent="0.25">
      <c r="A103">
        <v>102</v>
      </c>
      <c r="B103">
        <v>66</v>
      </c>
      <c r="C103" t="s">
        <v>10</v>
      </c>
      <c r="D103">
        <v>2973</v>
      </c>
      <c r="E103" t="s">
        <v>7</v>
      </c>
      <c r="F103">
        <v>0</v>
      </c>
      <c r="G103" t="str">
        <f t="shared" si="1"/>
        <v>Senior</v>
      </c>
    </row>
    <row r="104" spans="1:7" x14ac:dyDescent="0.25">
      <c r="A104">
        <v>103</v>
      </c>
      <c r="B104">
        <v>33</v>
      </c>
      <c r="C104" t="s">
        <v>11</v>
      </c>
      <c r="D104">
        <v>2108</v>
      </c>
      <c r="E104" t="s">
        <v>7</v>
      </c>
      <c r="F104">
        <v>0</v>
      </c>
      <c r="G104" t="str">
        <f t="shared" si="1"/>
        <v>Middle</v>
      </c>
    </row>
    <row r="105" spans="1:7" x14ac:dyDescent="0.25">
      <c r="A105">
        <v>104</v>
      </c>
      <c r="B105">
        <v>18</v>
      </c>
      <c r="C105" t="s">
        <v>12</v>
      </c>
      <c r="D105">
        <v>2703</v>
      </c>
      <c r="E105" t="s">
        <v>7</v>
      </c>
      <c r="F105">
        <v>0</v>
      </c>
      <c r="G105" t="str">
        <f t="shared" si="1"/>
        <v>Young</v>
      </c>
    </row>
    <row r="106" spans="1:7" x14ac:dyDescent="0.25">
      <c r="A106">
        <v>105</v>
      </c>
      <c r="B106">
        <v>41</v>
      </c>
      <c r="C106" t="s">
        <v>11</v>
      </c>
      <c r="D106">
        <v>1776</v>
      </c>
      <c r="E106" t="s">
        <v>7</v>
      </c>
      <c r="F106">
        <v>0</v>
      </c>
      <c r="G106" t="str">
        <f t="shared" si="1"/>
        <v>Middle</v>
      </c>
    </row>
    <row r="107" spans="1:7" x14ac:dyDescent="0.25">
      <c r="A107">
        <v>106</v>
      </c>
      <c r="B107">
        <v>53</v>
      </c>
      <c r="C107" t="s">
        <v>11</v>
      </c>
      <c r="D107">
        <v>822</v>
      </c>
      <c r="E107" t="s">
        <v>7</v>
      </c>
      <c r="F107">
        <v>0</v>
      </c>
      <c r="G107" t="str">
        <f t="shared" si="1"/>
        <v>Senior</v>
      </c>
    </row>
    <row r="108" spans="1:7" x14ac:dyDescent="0.25">
      <c r="A108">
        <v>107</v>
      </c>
      <c r="B108">
        <v>24</v>
      </c>
      <c r="C108" t="s">
        <v>6</v>
      </c>
      <c r="D108">
        <v>1608</v>
      </c>
      <c r="E108" t="s">
        <v>7</v>
      </c>
      <c r="F108">
        <v>0</v>
      </c>
      <c r="G108" t="str">
        <f t="shared" si="1"/>
        <v>Young</v>
      </c>
    </row>
    <row r="109" spans="1:7" x14ac:dyDescent="0.25">
      <c r="A109">
        <v>108</v>
      </c>
      <c r="B109">
        <v>39</v>
      </c>
      <c r="C109" t="s">
        <v>12</v>
      </c>
      <c r="D109">
        <v>1053</v>
      </c>
      <c r="E109" t="s">
        <v>7</v>
      </c>
      <c r="F109">
        <v>0</v>
      </c>
      <c r="G109" t="str">
        <f t="shared" si="1"/>
        <v>Middle</v>
      </c>
    </row>
    <row r="110" spans="1:7" x14ac:dyDescent="0.25">
      <c r="A110">
        <v>109</v>
      </c>
      <c r="B110">
        <v>61</v>
      </c>
      <c r="C110" t="s">
        <v>9</v>
      </c>
      <c r="D110">
        <v>2379</v>
      </c>
      <c r="E110" t="s">
        <v>7</v>
      </c>
      <c r="F110">
        <v>0</v>
      </c>
      <c r="G110" t="str">
        <f t="shared" si="1"/>
        <v>Senior</v>
      </c>
    </row>
    <row r="111" spans="1:7" x14ac:dyDescent="0.25">
      <c r="A111">
        <v>110</v>
      </c>
      <c r="B111">
        <v>25</v>
      </c>
      <c r="C111" t="s">
        <v>12</v>
      </c>
      <c r="D111">
        <v>2097</v>
      </c>
      <c r="E111" t="s">
        <v>7</v>
      </c>
      <c r="F111">
        <v>0</v>
      </c>
      <c r="G111" t="str">
        <f t="shared" si="1"/>
        <v>Young</v>
      </c>
    </row>
    <row r="112" spans="1:7" x14ac:dyDescent="0.25">
      <c r="A112">
        <v>111</v>
      </c>
      <c r="B112">
        <v>69</v>
      </c>
      <c r="C112" t="s">
        <v>9</v>
      </c>
      <c r="D112">
        <v>2844</v>
      </c>
      <c r="E112" t="s">
        <v>7</v>
      </c>
      <c r="F112">
        <v>0</v>
      </c>
      <c r="G112" t="str">
        <f t="shared" si="1"/>
        <v>Senior</v>
      </c>
    </row>
    <row r="113" spans="1:7" x14ac:dyDescent="0.25">
      <c r="A113">
        <v>112</v>
      </c>
      <c r="B113">
        <v>75</v>
      </c>
      <c r="C113" t="s">
        <v>9</v>
      </c>
      <c r="D113">
        <v>1244</v>
      </c>
      <c r="E113" t="s">
        <v>8</v>
      </c>
      <c r="F113">
        <v>5319</v>
      </c>
      <c r="G113" t="str">
        <f t="shared" si="1"/>
        <v>Senior</v>
      </c>
    </row>
    <row r="114" spans="1:7" x14ac:dyDescent="0.25">
      <c r="A114">
        <v>113</v>
      </c>
      <c r="B114">
        <v>52</v>
      </c>
      <c r="C114" t="s">
        <v>12</v>
      </c>
      <c r="D114">
        <v>1731</v>
      </c>
      <c r="E114" t="s">
        <v>7</v>
      </c>
      <c r="F114">
        <v>0</v>
      </c>
      <c r="G114" t="str">
        <f t="shared" si="1"/>
        <v>Senior</v>
      </c>
    </row>
    <row r="115" spans="1:7" x14ac:dyDescent="0.25">
      <c r="A115">
        <v>114</v>
      </c>
      <c r="B115">
        <v>69</v>
      </c>
      <c r="C115" t="s">
        <v>10</v>
      </c>
      <c r="D115">
        <v>1550</v>
      </c>
      <c r="E115" t="s">
        <v>7</v>
      </c>
      <c r="F115">
        <v>0</v>
      </c>
      <c r="G115" t="str">
        <f t="shared" si="1"/>
        <v>Senior</v>
      </c>
    </row>
    <row r="116" spans="1:7" x14ac:dyDescent="0.25">
      <c r="A116">
        <v>115</v>
      </c>
      <c r="B116">
        <v>37</v>
      </c>
      <c r="C116" t="s">
        <v>6</v>
      </c>
      <c r="D116">
        <v>2006</v>
      </c>
      <c r="E116" t="s">
        <v>7</v>
      </c>
      <c r="F116">
        <v>0</v>
      </c>
      <c r="G116" t="str">
        <f t="shared" si="1"/>
        <v>Middle</v>
      </c>
    </row>
    <row r="117" spans="1:7" x14ac:dyDescent="0.25">
      <c r="A117">
        <v>116</v>
      </c>
      <c r="B117">
        <v>41</v>
      </c>
      <c r="C117" t="s">
        <v>11</v>
      </c>
      <c r="D117">
        <v>2163</v>
      </c>
      <c r="E117" t="s">
        <v>7</v>
      </c>
      <c r="F117">
        <v>0</v>
      </c>
      <c r="G117" t="str">
        <f t="shared" si="1"/>
        <v>Middle</v>
      </c>
    </row>
    <row r="118" spans="1:7" x14ac:dyDescent="0.25">
      <c r="A118">
        <v>117</v>
      </c>
      <c r="B118">
        <v>60</v>
      </c>
      <c r="C118" t="s">
        <v>11</v>
      </c>
      <c r="D118">
        <v>2567</v>
      </c>
      <c r="E118" t="s">
        <v>8</v>
      </c>
      <c r="F118">
        <v>10177</v>
      </c>
      <c r="G118" t="str">
        <f t="shared" si="1"/>
        <v>Senior</v>
      </c>
    </row>
    <row r="119" spans="1:7" x14ac:dyDescent="0.25">
      <c r="A119">
        <v>118</v>
      </c>
      <c r="B119">
        <v>39</v>
      </c>
      <c r="C119" t="s">
        <v>10</v>
      </c>
      <c r="D119">
        <v>1142</v>
      </c>
      <c r="E119" t="s">
        <v>7</v>
      </c>
      <c r="F119">
        <v>0</v>
      </c>
      <c r="G119" t="str">
        <f t="shared" si="1"/>
        <v>Middle</v>
      </c>
    </row>
    <row r="120" spans="1:7" x14ac:dyDescent="0.25">
      <c r="A120">
        <v>119</v>
      </c>
      <c r="B120">
        <v>55</v>
      </c>
      <c r="C120" t="s">
        <v>6</v>
      </c>
      <c r="D120">
        <v>1578</v>
      </c>
      <c r="E120" t="s">
        <v>7</v>
      </c>
      <c r="F120">
        <v>0</v>
      </c>
      <c r="G120" t="str">
        <f t="shared" si="1"/>
        <v>Senior</v>
      </c>
    </row>
    <row r="121" spans="1:7" x14ac:dyDescent="0.25">
      <c r="A121">
        <v>120</v>
      </c>
      <c r="B121">
        <v>71</v>
      </c>
      <c r="C121" t="s">
        <v>12</v>
      </c>
      <c r="D121">
        <v>2059</v>
      </c>
      <c r="E121" t="s">
        <v>7</v>
      </c>
      <c r="F121">
        <v>0</v>
      </c>
      <c r="G121" t="str">
        <f t="shared" si="1"/>
        <v>Senior</v>
      </c>
    </row>
    <row r="122" spans="1:7" x14ac:dyDescent="0.25">
      <c r="A122">
        <v>121</v>
      </c>
      <c r="B122">
        <v>53</v>
      </c>
      <c r="C122" t="s">
        <v>9</v>
      </c>
      <c r="D122">
        <v>1302</v>
      </c>
      <c r="E122" t="s">
        <v>7</v>
      </c>
      <c r="F122">
        <v>0</v>
      </c>
      <c r="G122" t="str">
        <f t="shared" si="1"/>
        <v>Senior</v>
      </c>
    </row>
    <row r="123" spans="1:7" x14ac:dyDescent="0.25">
      <c r="A123">
        <v>122</v>
      </c>
      <c r="B123">
        <v>68</v>
      </c>
      <c r="C123" t="s">
        <v>10</v>
      </c>
      <c r="D123">
        <v>2289</v>
      </c>
      <c r="E123" t="s">
        <v>7</v>
      </c>
      <c r="F123">
        <v>0</v>
      </c>
      <c r="G123" t="str">
        <f t="shared" si="1"/>
        <v>Senior</v>
      </c>
    </row>
    <row r="124" spans="1:7" x14ac:dyDescent="0.25">
      <c r="A124">
        <v>123</v>
      </c>
      <c r="B124">
        <v>42</v>
      </c>
      <c r="C124" t="s">
        <v>9</v>
      </c>
      <c r="D124">
        <v>1434</v>
      </c>
      <c r="E124" t="s">
        <v>7</v>
      </c>
      <c r="F124">
        <v>0</v>
      </c>
      <c r="G124" t="str">
        <f t="shared" si="1"/>
        <v>Middle</v>
      </c>
    </row>
    <row r="125" spans="1:7" x14ac:dyDescent="0.25">
      <c r="A125">
        <v>124</v>
      </c>
      <c r="B125">
        <v>27</v>
      </c>
      <c r="C125" t="s">
        <v>11</v>
      </c>
      <c r="D125">
        <v>1009</v>
      </c>
      <c r="E125" t="s">
        <v>7</v>
      </c>
      <c r="F125">
        <v>0</v>
      </c>
      <c r="G125" t="str">
        <f t="shared" si="1"/>
        <v>Young</v>
      </c>
    </row>
    <row r="126" spans="1:7" x14ac:dyDescent="0.25">
      <c r="A126">
        <v>125</v>
      </c>
      <c r="B126">
        <v>79</v>
      </c>
      <c r="C126" t="s">
        <v>6</v>
      </c>
      <c r="D126">
        <v>2893</v>
      </c>
      <c r="E126" t="s">
        <v>7</v>
      </c>
      <c r="F126">
        <v>0</v>
      </c>
      <c r="G126" t="str">
        <f t="shared" si="1"/>
        <v>Senior</v>
      </c>
    </row>
    <row r="127" spans="1:7" x14ac:dyDescent="0.25">
      <c r="A127">
        <v>126</v>
      </c>
      <c r="B127">
        <v>63</v>
      </c>
      <c r="C127" t="s">
        <v>10</v>
      </c>
      <c r="D127">
        <v>1759</v>
      </c>
      <c r="E127" t="s">
        <v>7</v>
      </c>
      <c r="F127">
        <v>0</v>
      </c>
      <c r="G127" t="str">
        <f t="shared" si="1"/>
        <v>Senior</v>
      </c>
    </row>
    <row r="128" spans="1:7" x14ac:dyDescent="0.25">
      <c r="A128">
        <v>127</v>
      </c>
      <c r="B128">
        <v>36</v>
      </c>
      <c r="C128" t="s">
        <v>10</v>
      </c>
      <c r="D128">
        <v>911</v>
      </c>
      <c r="E128" t="s">
        <v>7</v>
      </c>
      <c r="F128">
        <v>0</v>
      </c>
      <c r="G128" t="str">
        <f t="shared" si="1"/>
        <v>Middle</v>
      </c>
    </row>
    <row r="129" spans="1:7" x14ac:dyDescent="0.25">
      <c r="A129">
        <v>128</v>
      </c>
      <c r="B129">
        <v>77</v>
      </c>
      <c r="C129" t="s">
        <v>10</v>
      </c>
      <c r="D129">
        <v>1823</v>
      </c>
      <c r="E129" t="s">
        <v>7</v>
      </c>
      <c r="F129">
        <v>0</v>
      </c>
      <c r="G129" t="str">
        <f t="shared" si="1"/>
        <v>Senior</v>
      </c>
    </row>
    <row r="130" spans="1:7" x14ac:dyDescent="0.25">
      <c r="A130">
        <v>129</v>
      </c>
      <c r="B130">
        <v>61</v>
      </c>
      <c r="C130" t="s">
        <v>6</v>
      </c>
      <c r="D130">
        <v>2220</v>
      </c>
      <c r="E130" t="s">
        <v>8</v>
      </c>
      <c r="F130">
        <v>5091</v>
      </c>
      <c r="G130" t="str">
        <f t="shared" si="1"/>
        <v>Senior</v>
      </c>
    </row>
    <row r="131" spans="1:7" x14ac:dyDescent="0.25">
      <c r="A131">
        <v>130</v>
      </c>
      <c r="B131">
        <v>42</v>
      </c>
      <c r="C131" t="s">
        <v>9</v>
      </c>
      <c r="D131">
        <v>2804</v>
      </c>
      <c r="E131" t="s">
        <v>7</v>
      </c>
      <c r="F131">
        <v>0</v>
      </c>
      <c r="G131" t="str">
        <f t="shared" ref="G131:G194" si="2">IF(B131&lt;30,"Young",IF(B131&lt;50,"Middle","Senior"))</f>
        <v>Middle</v>
      </c>
    </row>
    <row r="132" spans="1:7" x14ac:dyDescent="0.25">
      <c r="A132">
        <v>131</v>
      </c>
      <c r="B132">
        <v>38</v>
      </c>
      <c r="C132" t="s">
        <v>12</v>
      </c>
      <c r="D132">
        <v>1804</v>
      </c>
      <c r="E132" t="s">
        <v>8</v>
      </c>
      <c r="F132">
        <v>8353</v>
      </c>
      <c r="G132" t="str">
        <f t="shared" si="2"/>
        <v>Middle</v>
      </c>
    </row>
    <row r="133" spans="1:7" x14ac:dyDescent="0.25">
      <c r="A133">
        <v>132</v>
      </c>
      <c r="B133">
        <v>25</v>
      </c>
      <c r="C133" t="s">
        <v>11</v>
      </c>
      <c r="D133">
        <v>871</v>
      </c>
      <c r="E133" t="s">
        <v>7</v>
      </c>
      <c r="F133">
        <v>0</v>
      </c>
      <c r="G133" t="str">
        <f t="shared" si="2"/>
        <v>Young</v>
      </c>
    </row>
    <row r="134" spans="1:7" x14ac:dyDescent="0.25">
      <c r="A134">
        <v>133</v>
      </c>
      <c r="B134">
        <v>32</v>
      </c>
      <c r="C134" t="s">
        <v>11</v>
      </c>
      <c r="D134">
        <v>1182</v>
      </c>
      <c r="E134" t="s">
        <v>7</v>
      </c>
      <c r="F134">
        <v>0</v>
      </c>
      <c r="G134" t="str">
        <f t="shared" si="2"/>
        <v>Middle</v>
      </c>
    </row>
    <row r="135" spans="1:7" x14ac:dyDescent="0.25">
      <c r="A135">
        <v>134</v>
      </c>
      <c r="B135">
        <v>30</v>
      </c>
      <c r="C135" t="s">
        <v>6</v>
      </c>
      <c r="D135">
        <v>2716</v>
      </c>
      <c r="E135" t="s">
        <v>7</v>
      </c>
      <c r="F135">
        <v>0</v>
      </c>
      <c r="G135" t="str">
        <f t="shared" si="2"/>
        <v>Middle</v>
      </c>
    </row>
    <row r="136" spans="1:7" x14ac:dyDescent="0.25">
      <c r="A136">
        <v>135</v>
      </c>
      <c r="B136">
        <v>50</v>
      </c>
      <c r="C136" t="s">
        <v>12</v>
      </c>
      <c r="D136">
        <v>2123</v>
      </c>
      <c r="E136" t="s">
        <v>7</v>
      </c>
      <c r="F136">
        <v>0</v>
      </c>
      <c r="G136" t="str">
        <f t="shared" si="2"/>
        <v>Senior</v>
      </c>
    </row>
    <row r="137" spans="1:7" x14ac:dyDescent="0.25">
      <c r="A137">
        <v>136</v>
      </c>
      <c r="B137">
        <v>29</v>
      </c>
      <c r="C137" t="s">
        <v>6</v>
      </c>
      <c r="D137">
        <v>2506</v>
      </c>
      <c r="E137" t="s">
        <v>7</v>
      </c>
      <c r="F137">
        <v>0</v>
      </c>
      <c r="G137" t="str">
        <f t="shared" si="2"/>
        <v>Young</v>
      </c>
    </row>
    <row r="138" spans="1:7" x14ac:dyDescent="0.25">
      <c r="A138">
        <v>137</v>
      </c>
      <c r="B138">
        <v>59</v>
      </c>
      <c r="C138" t="s">
        <v>6</v>
      </c>
      <c r="D138">
        <v>2652</v>
      </c>
      <c r="E138" t="s">
        <v>7</v>
      </c>
      <c r="F138">
        <v>0</v>
      </c>
      <c r="G138" t="str">
        <f t="shared" si="2"/>
        <v>Senior</v>
      </c>
    </row>
    <row r="139" spans="1:7" x14ac:dyDescent="0.25">
      <c r="A139">
        <v>138</v>
      </c>
      <c r="B139">
        <v>37</v>
      </c>
      <c r="C139" t="s">
        <v>11</v>
      </c>
      <c r="D139">
        <v>1128</v>
      </c>
      <c r="E139" t="s">
        <v>8</v>
      </c>
      <c r="F139">
        <v>2388</v>
      </c>
      <c r="G139" t="str">
        <f t="shared" si="2"/>
        <v>Middle</v>
      </c>
    </row>
    <row r="140" spans="1:7" x14ac:dyDescent="0.25">
      <c r="A140">
        <v>139</v>
      </c>
      <c r="B140">
        <v>35</v>
      </c>
      <c r="C140" t="s">
        <v>10</v>
      </c>
      <c r="D140">
        <v>838</v>
      </c>
      <c r="E140" t="s">
        <v>7</v>
      </c>
      <c r="F140">
        <v>0</v>
      </c>
      <c r="G140" t="str">
        <f t="shared" si="2"/>
        <v>Middle</v>
      </c>
    </row>
    <row r="141" spans="1:7" x14ac:dyDescent="0.25">
      <c r="A141">
        <v>140</v>
      </c>
      <c r="B141">
        <v>42</v>
      </c>
      <c r="C141" t="s">
        <v>11</v>
      </c>
      <c r="D141">
        <v>1435</v>
      </c>
      <c r="E141" t="s">
        <v>8</v>
      </c>
      <c r="F141">
        <v>5413</v>
      </c>
      <c r="G141" t="str">
        <f t="shared" si="2"/>
        <v>Middle</v>
      </c>
    </row>
    <row r="142" spans="1:7" x14ac:dyDescent="0.25">
      <c r="A142">
        <v>141</v>
      </c>
      <c r="B142">
        <v>23</v>
      </c>
      <c r="C142" t="s">
        <v>10</v>
      </c>
      <c r="D142">
        <v>917</v>
      </c>
      <c r="E142" t="s">
        <v>8</v>
      </c>
      <c r="F142">
        <v>9305</v>
      </c>
      <c r="G142" t="str">
        <f t="shared" si="2"/>
        <v>Young</v>
      </c>
    </row>
    <row r="143" spans="1:7" x14ac:dyDescent="0.25">
      <c r="A143">
        <v>142</v>
      </c>
      <c r="B143">
        <v>79</v>
      </c>
      <c r="C143" t="s">
        <v>6</v>
      </c>
      <c r="D143">
        <v>1194</v>
      </c>
      <c r="E143" t="s">
        <v>8</v>
      </c>
      <c r="F143">
        <v>16863</v>
      </c>
      <c r="G143" t="str">
        <f t="shared" si="2"/>
        <v>Senior</v>
      </c>
    </row>
    <row r="144" spans="1:7" x14ac:dyDescent="0.25">
      <c r="A144">
        <v>143</v>
      </c>
      <c r="B144">
        <v>50</v>
      </c>
      <c r="C144" t="s">
        <v>10</v>
      </c>
      <c r="D144">
        <v>2570</v>
      </c>
      <c r="E144" t="s">
        <v>8</v>
      </c>
      <c r="F144">
        <v>10453</v>
      </c>
      <c r="G144" t="str">
        <f t="shared" si="2"/>
        <v>Senior</v>
      </c>
    </row>
    <row r="145" spans="1:7" x14ac:dyDescent="0.25">
      <c r="A145">
        <v>144</v>
      </c>
      <c r="B145">
        <v>37</v>
      </c>
      <c r="C145" t="s">
        <v>10</v>
      </c>
      <c r="D145">
        <v>1428</v>
      </c>
      <c r="E145" t="s">
        <v>7</v>
      </c>
      <c r="F145">
        <v>0</v>
      </c>
      <c r="G145" t="str">
        <f t="shared" si="2"/>
        <v>Middle</v>
      </c>
    </row>
    <row r="146" spans="1:7" x14ac:dyDescent="0.25">
      <c r="A146">
        <v>145</v>
      </c>
      <c r="B146">
        <v>44</v>
      </c>
      <c r="C146" t="s">
        <v>9</v>
      </c>
      <c r="D146">
        <v>907</v>
      </c>
      <c r="E146" t="s">
        <v>8</v>
      </c>
      <c r="F146">
        <v>19590</v>
      </c>
      <c r="G146" t="str">
        <f t="shared" si="2"/>
        <v>Middle</v>
      </c>
    </row>
    <row r="147" spans="1:7" x14ac:dyDescent="0.25">
      <c r="A147">
        <v>146</v>
      </c>
      <c r="B147">
        <v>44</v>
      </c>
      <c r="C147" t="s">
        <v>6</v>
      </c>
      <c r="D147">
        <v>2089</v>
      </c>
      <c r="E147" t="s">
        <v>7</v>
      </c>
      <c r="F147">
        <v>0</v>
      </c>
      <c r="G147" t="str">
        <f t="shared" si="2"/>
        <v>Middle</v>
      </c>
    </row>
    <row r="148" spans="1:7" x14ac:dyDescent="0.25">
      <c r="A148">
        <v>147</v>
      </c>
      <c r="B148">
        <v>44</v>
      </c>
      <c r="C148" t="s">
        <v>6</v>
      </c>
      <c r="D148">
        <v>2006</v>
      </c>
      <c r="E148" t="s">
        <v>7</v>
      </c>
      <c r="F148">
        <v>0</v>
      </c>
      <c r="G148" t="str">
        <f t="shared" si="2"/>
        <v>Middle</v>
      </c>
    </row>
    <row r="149" spans="1:7" x14ac:dyDescent="0.25">
      <c r="A149">
        <v>148</v>
      </c>
      <c r="B149">
        <v>59</v>
      </c>
      <c r="C149" t="s">
        <v>6</v>
      </c>
      <c r="D149">
        <v>2980</v>
      </c>
      <c r="E149" t="s">
        <v>7</v>
      </c>
      <c r="F149">
        <v>0</v>
      </c>
      <c r="G149" t="str">
        <f t="shared" si="2"/>
        <v>Senior</v>
      </c>
    </row>
    <row r="150" spans="1:7" x14ac:dyDescent="0.25">
      <c r="A150">
        <v>149</v>
      </c>
      <c r="B150">
        <v>44</v>
      </c>
      <c r="C150" t="s">
        <v>11</v>
      </c>
      <c r="D150">
        <v>2709</v>
      </c>
      <c r="E150" t="s">
        <v>7</v>
      </c>
      <c r="F150">
        <v>0</v>
      </c>
      <c r="G150" t="str">
        <f t="shared" si="2"/>
        <v>Middle</v>
      </c>
    </row>
    <row r="151" spans="1:7" x14ac:dyDescent="0.25">
      <c r="A151">
        <v>150</v>
      </c>
      <c r="B151">
        <v>66</v>
      </c>
      <c r="C151" t="s">
        <v>10</v>
      </c>
      <c r="D151">
        <v>1310</v>
      </c>
      <c r="E151" t="s">
        <v>8</v>
      </c>
      <c r="F151">
        <v>7495</v>
      </c>
      <c r="G151" t="str">
        <f t="shared" si="2"/>
        <v>Senior</v>
      </c>
    </row>
    <row r="152" spans="1:7" x14ac:dyDescent="0.25">
      <c r="A152">
        <v>151</v>
      </c>
      <c r="B152">
        <v>71</v>
      </c>
      <c r="C152" t="s">
        <v>11</v>
      </c>
      <c r="D152">
        <v>1257</v>
      </c>
      <c r="E152" t="s">
        <v>7</v>
      </c>
      <c r="F152">
        <v>0</v>
      </c>
      <c r="G152" t="str">
        <f t="shared" si="2"/>
        <v>Senior</v>
      </c>
    </row>
    <row r="153" spans="1:7" x14ac:dyDescent="0.25">
      <c r="A153">
        <v>152</v>
      </c>
      <c r="B153">
        <v>75</v>
      </c>
      <c r="C153" t="s">
        <v>11</v>
      </c>
      <c r="D153">
        <v>2640</v>
      </c>
      <c r="E153" t="s">
        <v>7</v>
      </c>
      <c r="F153">
        <v>0</v>
      </c>
      <c r="G153" t="str">
        <f t="shared" si="2"/>
        <v>Senior</v>
      </c>
    </row>
    <row r="154" spans="1:7" x14ac:dyDescent="0.25">
      <c r="A154">
        <v>153</v>
      </c>
      <c r="B154">
        <v>21</v>
      </c>
      <c r="C154" t="s">
        <v>9</v>
      </c>
      <c r="D154">
        <v>2914</v>
      </c>
      <c r="E154" t="s">
        <v>7</v>
      </c>
      <c r="F154">
        <v>0</v>
      </c>
      <c r="G154" t="str">
        <f t="shared" si="2"/>
        <v>Young</v>
      </c>
    </row>
    <row r="155" spans="1:7" x14ac:dyDescent="0.25">
      <c r="A155">
        <v>154</v>
      </c>
      <c r="B155">
        <v>37</v>
      </c>
      <c r="C155" t="s">
        <v>10</v>
      </c>
      <c r="D155">
        <v>2368</v>
      </c>
      <c r="E155" t="s">
        <v>7</v>
      </c>
      <c r="F155">
        <v>0</v>
      </c>
      <c r="G155" t="str">
        <f t="shared" si="2"/>
        <v>Middle</v>
      </c>
    </row>
    <row r="156" spans="1:7" x14ac:dyDescent="0.25">
      <c r="A156">
        <v>155</v>
      </c>
      <c r="B156">
        <v>80</v>
      </c>
      <c r="C156" t="s">
        <v>6</v>
      </c>
      <c r="D156">
        <v>922</v>
      </c>
      <c r="E156" t="s">
        <v>7</v>
      </c>
      <c r="F156">
        <v>0</v>
      </c>
      <c r="G156" t="str">
        <f t="shared" si="2"/>
        <v>Senior</v>
      </c>
    </row>
    <row r="157" spans="1:7" x14ac:dyDescent="0.25">
      <c r="A157">
        <v>156</v>
      </c>
      <c r="B157">
        <v>46</v>
      </c>
      <c r="C157" t="s">
        <v>6</v>
      </c>
      <c r="D157">
        <v>1631</v>
      </c>
      <c r="E157" t="s">
        <v>7</v>
      </c>
      <c r="F157">
        <v>0</v>
      </c>
      <c r="G157" t="str">
        <f t="shared" si="2"/>
        <v>Middle</v>
      </c>
    </row>
    <row r="158" spans="1:7" x14ac:dyDescent="0.25">
      <c r="A158">
        <v>157</v>
      </c>
      <c r="B158">
        <v>47</v>
      </c>
      <c r="C158" t="s">
        <v>12</v>
      </c>
      <c r="D158">
        <v>2488</v>
      </c>
      <c r="E158" t="s">
        <v>7</v>
      </c>
      <c r="F158">
        <v>0</v>
      </c>
      <c r="G158" t="str">
        <f t="shared" si="2"/>
        <v>Middle</v>
      </c>
    </row>
    <row r="159" spans="1:7" x14ac:dyDescent="0.25">
      <c r="A159">
        <v>158</v>
      </c>
      <c r="B159">
        <v>75</v>
      </c>
      <c r="C159" t="s">
        <v>11</v>
      </c>
      <c r="D159">
        <v>2794</v>
      </c>
      <c r="E159" t="s">
        <v>7</v>
      </c>
      <c r="F159">
        <v>0</v>
      </c>
      <c r="G159" t="str">
        <f t="shared" si="2"/>
        <v>Senior</v>
      </c>
    </row>
    <row r="160" spans="1:7" x14ac:dyDescent="0.25">
      <c r="A160">
        <v>159</v>
      </c>
      <c r="B160">
        <v>67</v>
      </c>
      <c r="C160" t="s">
        <v>10</v>
      </c>
      <c r="D160">
        <v>1404</v>
      </c>
      <c r="E160" t="s">
        <v>7</v>
      </c>
      <c r="F160">
        <v>0</v>
      </c>
      <c r="G160" t="str">
        <f t="shared" si="2"/>
        <v>Senior</v>
      </c>
    </row>
    <row r="161" spans="1:7" x14ac:dyDescent="0.25">
      <c r="A161">
        <v>160</v>
      </c>
      <c r="B161">
        <v>62</v>
      </c>
      <c r="C161" t="s">
        <v>10</v>
      </c>
      <c r="D161">
        <v>2439</v>
      </c>
      <c r="E161" t="s">
        <v>7</v>
      </c>
      <c r="F161">
        <v>0</v>
      </c>
      <c r="G161" t="str">
        <f t="shared" si="2"/>
        <v>Senior</v>
      </c>
    </row>
    <row r="162" spans="1:7" x14ac:dyDescent="0.25">
      <c r="A162">
        <v>161</v>
      </c>
      <c r="B162">
        <v>42</v>
      </c>
      <c r="C162" t="s">
        <v>12</v>
      </c>
      <c r="D162">
        <v>1787</v>
      </c>
      <c r="E162" t="s">
        <v>7</v>
      </c>
      <c r="F162">
        <v>0</v>
      </c>
      <c r="G162" t="str">
        <f t="shared" si="2"/>
        <v>Middle</v>
      </c>
    </row>
    <row r="163" spans="1:7" x14ac:dyDescent="0.25">
      <c r="A163">
        <v>162</v>
      </c>
      <c r="B163">
        <v>36</v>
      </c>
      <c r="C163" t="s">
        <v>9</v>
      </c>
      <c r="D163">
        <v>865</v>
      </c>
      <c r="E163" t="s">
        <v>7</v>
      </c>
      <c r="F163">
        <v>0</v>
      </c>
      <c r="G163" t="str">
        <f t="shared" si="2"/>
        <v>Middle</v>
      </c>
    </row>
    <row r="164" spans="1:7" x14ac:dyDescent="0.25">
      <c r="A164">
        <v>163</v>
      </c>
      <c r="B164">
        <v>34</v>
      </c>
      <c r="C164" t="s">
        <v>9</v>
      </c>
      <c r="D164">
        <v>2067</v>
      </c>
      <c r="E164" t="s">
        <v>8</v>
      </c>
      <c r="F164">
        <v>5536</v>
      </c>
      <c r="G164" t="str">
        <f t="shared" si="2"/>
        <v>Middle</v>
      </c>
    </row>
    <row r="165" spans="1:7" x14ac:dyDescent="0.25">
      <c r="A165">
        <v>164</v>
      </c>
      <c r="B165">
        <v>67</v>
      </c>
      <c r="C165" t="s">
        <v>10</v>
      </c>
      <c r="D165">
        <v>1390</v>
      </c>
      <c r="E165" t="s">
        <v>7</v>
      </c>
      <c r="F165">
        <v>0</v>
      </c>
      <c r="G165" t="str">
        <f t="shared" si="2"/>
        <v>Senior</v>
      </c>
    </row>
    <row r="166" spans="1:7" x14ac:dyDescent="0.25">
      <c r="A166">
        <v>165</v>
      </c>
      <c r="B166">
        <v>49</v>
      </c>
      <c r="C166" t="s">
        <v>9</v>
      </c>
      <c r="D166">
        <v>1965</v>
      </c>
      <c r="E166" t="s">
        <v>7</v>
      </c>
      <c r="F166">
        <v>0</v>
      </c>
      <c r="G166" t="str">
        <f t="shared" si="2"/>
        <v>Middle</v>
      </c>
    </row>
    <row r="167" spans="1:7" x14ac:dyDescent="0.25">
      <c r="A167">
        <v>166</v>
      </c>
      <c r="B167">
        <v>41</v>
      </c>
      <c r="C167" t="s">
        <v>12</v>
      </c>
      <c r="D167">
        <v>2703</v>
      </c>
      <c r="E167" t="s">
        <v>7</v>
      </c>
      <c r="F167">
        <v>0</v>
      </c>
      <c r="G167" t="str">
        <f t="shared" si="2"/>
        <v>Middle</v>
      </c>
    </row>
    <row r="168" spans="1:7" x14ac:dyDescent="0.25">
      <c r="A168">
        <v>167</v>
      </c>
      <c r="B168">
        <v>46</v>
      </c>
      <c r="C168" t="s">
        <v>10</v>
      </c>
      <c r="D168">
        <v>2762</v>
      </c>
      <c r="E168" t="s">
        <v>7</v>
      </c>
      <c r="F168">
        <v>0</v>
      </c>
      <c r="G168" t="str">
        <f t="shared" si="2"/>
        <v>Middle</v>
      </c>
    </row>
    <row r="169" spans="1:7" x14ac:dyDescent="0.25">
      <c r="A169">
        <v>168</v>
      </c>
      <c r="B169">
        <v>73</v>
      </c>
      <c r="C169" t="s">
        <v>6</v>
      </c>
      <c r="D169">
        <v>2960</v>
      </c>
      <c r="E169" t="s">
        <v>7</v>
      </c>
      <c r="F169">
        <v>0</v>
      </c>
      <c r="G169" t="str">
        <f t="shared" si="2"/>
        <v>Senior</v>
      </c>
    </row>
    <row r="170" spans="1:7" x14ac:dyDescent="0.25">
      <c r="A170">
        <v>169</v>
      </c>
      <c r="B170">
        <v>65</v>
      </c>
      <c r="C170" t="s">
        <v>12</v>
      </c>
      <c r="D170">
        <v>2497</v>
      </c>
      <c r="E170" t="s">
        <v>7</v>
      </c>
      <c r="F170">
        <v>0</v>
      </c>
      <c r="G170" t="str">
        <f t="shared" si="2"/>
        <v>Senior</v>
      </c>
    </row>
    <row r="171" spans="1:7" x14ac:dyDescent="0.25">
      <c r="A171">
        <v>170</v>
      </c>
      <c r="B171">
        <v>60</v>
      </c>
      <c r="C171" t="s">
        <v>12</v>
      </c>
      <c r="D171">
        <v>2604</v>
      </c>
      <c r="E171" t="s">
        <v>7</v>
      </c>
      <c r="F171">
        <v>0</v>
      </c>
      <c r="G171" t="str">
        <f t="shared" si="2"/>
        <v>Senior</v>
      </c>
    </row>
    <row r="172" spans="1:7" x14ac:dyDescent="0.25">
      <c r="A172">
        <v>171</v>
      </c>
      <c r="B172">
        <v>55</v>
      </c>
      <c r="C172" t="s">
        <v>11</v>
      </c>
      <c r="D172">
        <v>2145</v>
      </c>
      <c r="E172" t="s">
        <v>7</v>
      </c>
      <c r="F172">
        <v>0</v>
      </c>
      <c r="G172" t="str">
        <f t="shared" si="2"/>
        <v>Senior</v>
      </c>
    </row>
    <row r="173" spans="1:7" x14ac:dyDescent="0.25">
      <c r="A173">
        <v>172</v>
      </c>
      <c r="B173">
        <v>18</v>
      </c>
      <c r="C173" t="s">
        <v>9</v>
      </c>
      <c r="D173">
        <v>1564</v>
      </c>
      <c r="E173" t="s">
        <v>7</v>
      </c>
      <c r="F173">
        <v>0</v>
      </c>
      <c r="G173" t="str">
        <f t="shared" si="2"/>
        <v>Young</v>
      </c>
    </row>
    <row r="174" spans="1:7" x14ac:dyDescent="0.25">
      <c r="A174">
        <v>173</v>
      </c>
      <c r="B174">
        <v>64</v>
      </c>
      <c r="C174" t="s">
        <v>9</v>
      </c>
      <c r="D174">
        <v>808</v>
      </c>
      <c r="E174" t="s">
        <v>7</v>
      </c>
      <c r="F174">
        <v>0</v>
      </c>
      <c r="G174" t="str">
        <f t="shared" si="2"/>
        <v>Senior</v>
      </c>
    </row>
    <row r="175" spans="1:7" x14ac:dyDescent="0.25">
      <c r="A175">
        <v>174</v>
      </c>
      <c r="B175">
        <v>55</v>
      </c>
      <c r="C175" t="s">
        <v>9</v>
      </c>
      <c r="D175">
        <v>1121</v>
      </c>
      <c r="E175" t="s">
        <v>8</v>
      </c>
      <c r="F175">
        <v>5688</v>
      </c>
      <c r="G175" t="str">
        <f t="shared" si="2"/>
        <v>Senior</v>
      </c>
    </row>
    <row r="176" spans="1:7" x14ac:dyDescent="0.25">
      <c r="A176">
        <v>175</v>
      </c>
      <c r="B176">
        <v>39</v>
      </c>
      <c r="C176" t="s">
        <v>6</v>
      </c>
      <c r="D176">
        <v>2687</v>
      </c>
      <c r="E176" t="s">
        <v>8</v>
      </c>
      <c r="F176">
        <v>6106</v>
      </c>
      <c r="G176" t="str">
        <f t="shared" si="2"/>
        <v>Middle</v>
      </c>
    </row>
    <row r="177" spans="1:7" x14ac:dyDescent="0.25">
      <c r="A177">
        <v>176</v>
      </c>
      <c r="B177">
        <v>18</v>
      </c>
      <c r="C177" t="s">
        <v>10</v>
      </c>
      <c r="D177">
        <v>1674</v>
      </c>
      <c r="E177" t="s">
        <v>7</v>
      </c>
      <c r="F177">
        <v>0</v>
      </c>
      <c r="G177" t="str">
        <f t="shared" si="2"/>
        <v>Young</v>
      </c>
    </row>
    <row r="178" spans="1:7" x14ac:dyDescent="0.25">
      <c r="A178">
        <v>177</v>
      </c>
      <c r="B178">
        <v>74</v>
      </c>
      <c r="C178" t="s">
        <v>10</v>
      </c>
      <c r="D178">
        <v>2347</v>
      </c>
      <c r="E178" t="s">
        <v>7</v>
      </c>
      <c r="F178">
        <v>0</v>
      </c>
      <c r="G178" t="str">
        <f t="shared" si="2"/>
        <v>Senior</v>
      </c>
    </row>
    <row r="179" spans="1:7" x14ac:dyDescent="0.25">
      <c r="A179">
        <v>178</v>
      </c>
      <c r="B179">
        <v>45</v>
      </c>
      <c r="C179" t="s">
        <v>12</v>
      </c>
      <c r="D179">
        <v>2019</v>
      </c>
      <c r="E179" t="s">
        <v>7</v>
      </c>
      <c r="F179">
        <v>0</v>
      </c>
      <c r="G179" t="str">
        <f t="shared" si="2"/>
        <v>Middle</v>
      </c>
    </row>
    <row r="180" spans="1:7" x14ac:dyDescent="0.25">
      <c r="A180">
        <v>179</v>
      </c>
      <c r="B180">
        <v>39</v>
      </c>
      <c r="C180" t="s">
        <v>11</v>
      </c>
      <c r="D180">
        <v>1093</v>
      </c>
      <c r="E180" t="s">
        <v>7</v>
      </c>
      <c r="F180">
        <v>0</v>
      </c>
      <c r="G180" t="str">
        <f t="shared" si="2"/>
        <v>Middle</v>
      </c>
    </row>
    <row r="181" spans="1:7" x14ac:dyDescent="0.25">
      <c r="A181">
        <v>180</v>
      </c>
      <c r="B181">
        <v>79</v>
      </c>
      <c r="C181" t="s">
        <v>11</v>
      </c>
      <c r="D181">
        <v>1724</v>
      </c>
      <c r="E181" t="s">
        <v>7</v>
      </c>
      <c r="F181">
        <v>0</v>
      </c>
      <c r="G181" t="str">
        <f t="shared" si="2"/>
        <v>Senior</v>
      </c>
    </row>
    <row r="182" spans="1:7" x14ac:dyDescent="0.25">
      <c r="A182">
        <v>181</v>
      </c>
      <c r="B182">
        <v>28</v>
      </c>
      <c r="C182" t="s">
        <v>9</v>
      </c>
      <c r="D182">
        <v>1871</v>
      </c>
      <c r="E182" t="s">
        <v>8</v>
      </c>
      <c r="F182">
        <v>13365</v>
      </c>
      <c r="G182" t="str">
        <f t="shared" si="2"/>
        <v>Young</v>
      </c>
    </row>
    <row r="183" spans="1:7" x14ac:dyDescent="0.25">
      <c r="A183">
        <v>182</v>
      </c>
      <c r="B183">
        <v>47</v>
      </c>
      <c r="C183" t="s">
        <v>12</v>
      </c>
      <c r="D183">
        <v>2692</v>
      </c>
      <c r="E183" t="s">
        <v>7</v>
      </c>
      <c r="F183">
        <v>0</v>
      </c>
      <c r="G183" t="str">
        <f t="shared" si="2"/>
        <v>Middle</v>
      </c>
    </row>
    <row r="184" spans="1:7" x14ac:dyDescent="0.25">
      <c r="A184">
        <v>183</v>
      </c>
      <c r="B184">
        <v>65</v>
      </c>
      <c r="C184" t="s">
        <v>6</v>
      </c>
      <c r="D184">
        <v>2571</v>
      </c>
      <c r="E184" t="s">
        <v>7</v>
      </c>
      <c r="F184">
        <v>0</v>
      </c>
      <c r="G184" t="str">
        <f t="shared" si="2"/>
        <v>Senior</v>
      </c>
    </row>
    <row r="185" spans="1:7" x14ac:dyDescent="0.25">
      <c r="A185">
        <v>184</v>
      </c>
      <c r="B185">
        <v>52</v>
      </c>
      <c r="C185" t="s">
        <v>11</v>
      </c>
      <c r="D185">
        <v>1160</v>
      </c>
      <c r="E185" t="s">
        <v>8</v>
      </c>
      <c r="F185">
        <v>6483</v>
      </c>
      <c r="G185" t="str">
        <f t="shared" si="2"/>
        <v>Senior</v>
      </c>
    </row>
    <row r="186" spans="1:7" x14ac:dyDescent="0.25">
      <c r="A186">
        <v>185</v>
      </c>
      <c r="B186">
        <v>45</v>
      </c>
      <c r="C186" t="s">
        <v>12</v>
      </c>
      <c r="D186">
        <v>1555</v>
      </c>
      <c r="E186" t="s">
        <v>7</v>
      </c>
      <c r="F186">
        <v>0</v>
      </c>
      <c r="G186" t="str">
        <f t="shared" si="2"/>
        <v>Middle</v>
      </c>
    </row>
    <row r="187" spans="1:7" x14ac:dyDescent="0.25">
      <c r="A187">
        <v>186</v>
      </c>
      <c r="B187">
        <v>36</v>
      </c>
      <c r="C187" t="s">
        <v>9</v>
      </c>
      <c r="D187">
        <v>2981</v>
      </c>
      <c r="E187" t="s">
        <v>7</v>
      </c>
      <c r="F187">
        <v>0</v>
      </c>
      <c r="G187" t="str">
        <f t="shared" si="2"/>
        <v>Middle</v>
      </c>
    </row>
    <row r="188" spans="1:7" x14ac:dyDescent="0.25">
      <c r="A188">
        <v>187</v>
      </c>
      <c r="B188">
        <v>75</v>
      </c>
      <c r="C188" t="s">
        <v>9</v>
      </c>
      <c r="D188">
        <v>1372</v>
      </c>
      <c r="E188" t="s">
        <v>8</v>
      </c>
      <c r="F188">
        <v>7903</v>
      </c>
      <c r="G188" t="str">
        <f t="shared" si="2"/>
        <v>Senior</v>
      </c>
    </row>
    <row r="189" spans="1:7" x14ac:dyDescent="0.25">
      <c r="A189">
        <v>188</v>
      </c>
      <c r="B189">
        <v>54</v>
      </c>
      <c r="C189" t="s">
        <v>6</v>
      </c>
      <c r="D189">
        <v>2936</v>
      </c>
      <c r="E189" t="s">
        <v>8</v>
      </c>
      <c r="F189">
        <v>7155</v>
      </c>
      <c r="G189" t="str">
        <f t="shared" si="2"/>
        <v>Senior</v>
      </c>
    </row>
    <row r="190" spans="1:7" x14ac:dyDescent="0.25">
      <c r="A190">
        <v>189</v>
      </c>
      <c r="B190">
        <v>68</v>
      </c>
      <c r="C190" t="s">
        <v>9</v>
      </c>
      <c r="D190">
        <v>1081</v>
      </c>
      <c r="E190" t="s">
        <v>8</v>
      </c>
      <c r="F190">
        <v>11767</v>
      </c>
      <c r="G190" t="str">
        <f t="shared" si="2"/>
        <v>Senior</v>
      </c>
    </row>
    <row r="191" spans="1:7" x14ac:dyDescent="0.25">
      <c r="A191">
        <v>190</v>
      </c>
      <c r="B191">
        <v>74</v>
      </c>
      <c r="C191" t="s">
        <v>10</v>
      </c>
      <c r="D191">
        <v>1096</v>
      </c>
      <c r="E191" t="s">
        <v>7</v>
      </c>
      <c r="F191">
        <v>0</v>
      </c>
      <c r="G191" t="str">
        <f t="shared" si="2"/>
        <v>Senior</v>
      </c>
    </row>
    <row r="192" spans="1:7" x14ac:dyDescent="0.25">
      <c r="A192">
        <v>191</v>
      </c>
      <c r="B192">
        <v>26</v>
      </c>
      <c r="C192" t="s">
        <v>10</v>
      </c>
      <c r="D192">
        <v>1647</v>
      </c>
      <c r="E192" t="s">
        <v>7</v>
      </c>
      <c r="F192">
        <v>0</v>
      </c>
      <c r="G192" t="str">
        <f t="shared" si="2"/>
        <v>Young</v>
      </c>
    </row>
    <row r="193" spans="1:7" x14ac:dyDescent="0.25">
      <c r="A193">
        <v>192</v>
      </c>
      <c r="B193">
        <v>42</v>
      </c>
      <c r="C193" t="s">
        <v>9</v>
      </c>
      <c r="D193">
        <v>2793</v>
      </c>
      <c r="E193" t="s">
        <v>8</v>
      </c>
      <c r="F193">
        <v>7957</v>
      </c>
      <c r="G193" t="str">
        <f t="shared" si="2"/>
        <v>Middle</v>
      </c>
    </row>
    <row r="194" spans="1:7" x14ac:dyDescent="0.25">
      <c r="A194">
        <v>193</v>
      </c>
      <c r="B194">
        <v>74</v>
      </c>
      <c r="C194" t="s">
        <v>11</v>
      </c>
      <c r="D194">
        <v>2043</v>
      </c>
      <c r="E194" t="s">
        <v>7</v>
      </c>
      <c r="F194">
        <v>0</v>
      </c>
      <c r="G194" t="str">
        <f t="shared" si="2"/>
        <v>Senior</v>
      </c>
    </row>
    <row r="195" spans="1:7" x14ac:dyDescent="0.25">
      <c r="A195">
        <v>194</v>
      </c>
      <c r="B195">
        <v>52</v>
      </c>
      <c r="C195" t="s">
        <v>6</v>
      </c>
      <c r="D195">
        <v>1902</v>
      </c>
      <c r="E195" t="s">
        <v>8</v>
      </c>
      <c r="F195">
        <v>10470</v>
      </c>
      <c r="G195" t="str">
        <f t="shared" ref="G195:G258" si="3">IF(B195&lt;30,"Young",IF(B195&lt;50,"Middle","Senior"))</f>
        <v>Senior</v>
      </c>
    </row>
    <row r="196" spans="1:7" x14ac:dyDescent="0.25">
      <c r="A196">
        <v>195</v>
      </c>
      <c r="B196">
        <v>27</v>
      </c>
      <c r="C196" t="s">
        <v>11</v>
      </c>
      <c r="D196">
        <v>1867</v>
      </c>
      <c r="E196" t="s">
        <v>8</v>
      </c>
      <c r="F196">
        <v>2645</v>
      </c>
      <c r="G196" t="str">
        <f t="shared" si="3"/>
        <v>Young</v>
      </c>
    </row>
    <row r="197" spans="1:7" x14ac:dyDescent="0.25">
      <c r="A197">
        <v>196</v>
      </c>
      <c r="B197">
        <v>53</v>
      </c>
      <c r="C197" t="s">
        <v>11</v>
      </c>
      <c r="D197">
        <v>2150</v>
      </c>
      <c r="E197" t="s">
        <v>7</v>
      </c>
      <c r="F197">
        <v>0</v>
      </c>
      <c r="G197" t="str">
        <f t="shared" si="3"/>
        <v>Senior</v>
      </c>
    </row>
    <row r="198" spans="1:7" x14ac:dyDescent="0.25">
      <c r="A198">
        <v>197</v>
      </c>
      <c r="B198">
        <v>75</v>
      </c>
      <c r="C198" t="s">
        <v>12</v>
      </c>
      <c r="D198">
        <v>1391</v>
      </c>
      <c r="E198" t="s">
        <v>7</v>
      </c>
      <c r="F198">
        <v>0</v>
      </c>
      <c r="G198" t="str">
        <f t="shared" si="3"/>
        <v>Senior</v>
      </c>
    </row>
    <row r="199" spans="1:7" x14ac:dyDescent="0.25">
      <c r="A199">
        <v>198</v>
      </c>
      <c r="B199">
        <v>74</v>
      </c>
      <c r="C199" t="s">
        <v>11</v>
      </c>
      <c r="D199">
        <v>1541</v>
      </c>
      <c r="E199" t="s">
        <v>7</v>
      </c>
      <c r="F199">
        <v>0</v>
      </c>
      <c r="G199" t="str">
        <f t="shared" si="3"/>
        <v>Senior</v>
      </c>
    </row>
    <row r="200" spans="1:7" x14ac:dyDescent="0.25">
      <c r="A200">
        <v>199</v>
      </c>
      <c r="B200">
        <v>24</v>
      </c>
      <c r="C200" t="s">
        <v>11</v>
      </c>
      <c r="D200">
        <v>1386</v>
      </c>
      <c r="E200" t="s">
        <v>8</v>
      </c>
      <c r="F200">
        <v>3268</v>
      </c>
      <c r="G200" t="str">
        <f t="shared" si="3"/>
        <v>Young</v>
      </c>
    </row>
    <row r="201" spans="1:7" x14ac:dyDescent="0.25">
      <c r="A201">
        <v>200</v>
      </c>
      <c r="B201">
        <v>36</v>
      </c>
      <c r="C201" t="s">
        <v>12</v>
      </c>
      <c r="D201">
        <v>1038</v>
      </c>
      <c r="E201" t="s">
        <v>7</v>
      </c>
      <c r="F201">
        <v>0</v>
      </c>
      <c r="G201" t="str">
        <f t="shared" si="3"/>
        <v>Middle</v>
      </c>
    </row>
    <row r="202" spans="1:7" x14ac:dyDescent="0.25">
      <c r="A202">
        <v>201</v>
      </c>
      <c r="B202">
        <v>29</v>
      </c>
      <c r="C202" t="s">
        <v>6</v>
      </c>
      <c r="D202">
        <v>2201</v>
      </c>
      <c r="E202" t="s">
        <v>7</v>
      </c>
      <c r="F202">
        <v>0</v>
      </c>
      <c r="G202" t="str">
        <f t="shared" si="3"/>
        <v>Young</v>
      </c>
    </row>
    <row r="203" spans="1:7" x14ac:dyDescent="0.25">
      <c r="A203">
        <v>202</v>
      </c>
      <c r="B203">
        <v>20</v>
      </c>
      <c r="C203" t="s">
        <v>12</v>
      </c>
      <c r="D203">
        <v>2065</v>
      </c>
      <c r="E203" t="s">
        <v>7</v>
      </c>
      <c r="F203">
        <v>0</v>
      </c>
      <c r="G203" t="str">
        <f t="shared" si="3"/>
        <v>Young</v>
      </c>
    </row>
    <row r="204" spans="1:7" x14ac:dyDescent="0.25">
      <c r="A204">
        <v>203</v>
      </c>
      <c r="B204">
        <v>60</v>
      </c>
      <c r="C204" t="s">
        <v>9</v>
      </c>
      <c r="D204">
        <v>1638</v>
      </c>
      <c r="E204" t="s">
        <v>8</v>
      </c>
      <c r="F204">
        <v>1426</v>
      </c>
      <c r="G204" t="str">
        <f t="shared" si="3"/>
        <v>Senior</v>
      </c>
    </row>
    <row r="205" spans="1:7" x14ac:dyDescent="0.25">
      <c r="A205">
        <v>204</v>
      </c>
      <c r="B205">
        <v>68</v>
      </c>
      <c r="C205" t="s">
        <v>11</v>
      </c>
      <c r="D205">
        <v>2694</v>
      </c>
      <c r="E205" t="s">
        <v>7</v>
      </c>
      <c r="F205">
        <v>0</v>
      </c>
      <c r="G205" t="str">
        <f t="shared" si="3"/>
        <v>Senior</v>
      </c>
    </row>
    <row r="206" spans="1:7" x14ac:dyDescent="0.25">
      <c r="A206">
        <v>205</v>
      </c>
      <c r="B206">
        <v>80</v>
      </c>
      <c r="C206" t="s">
        <v>12</v>
      </c>
      <c r="D206">
        <v>886</v>
      </c>
      <c r="E206" t="s">
        <v>7</v>
      </c>
      <c r="F206">
        <v>0</v>
      </c>
      <c r="G206" t="str">
        <f t="shared" si="3"/>
        <v>Senior</v>
      </c>
    </row>
    <row r="207" spans="1:7" x14ac:dyDescent="0.25">
      <c r="A207">
        <v>206</v>
      </c>
      <c r="B207">
        <v>72</v>
      </c>
      <c r="C207" t="s">
        <v>10</v>
      </c>
      <c r="D207">
        <v>901</v>
      </c>
      <c r="E207" t="s">
        <v>7</v>
      </c>
      <c r="F207">
        <v>0</v>
      </c>
      <c r="G207" t="str">
        <f t="shared" si="3"/>
        <v>Senior</v>
      </c>
    </row>
    <row r="208" spans="1:7" x14ac:dyDescent="0.25">
      <c r="A208">
        <v>207</v>
      </c>
      <c r="B208">
        <v>30</v>
      </c>
      <c r="C208" t="s">
        <v>10</v>
      </c>
      <c r="D208">
        <v>2389</v>
      </c>
      <c r="E208" t="s">
        <v>8</v>
      </c>
      <c r="F208">
        <v>12111</v>
      </c>
      <c r="G208" t="str">
        <f t="shared" si="3"/>
        <v>Middle</v>
      </c>
    </row>
    <row r="209" spans="1:7" x14ac:dyDescent="0.25">
      <c r="A209">
        <v>208</v>
      </c>
      <c r="B209">
        <v>26</v>
      </c>
      <c r="C209" t="s">
        <v>9</v>
      </c>
      <c r="D209">
        <v>1830</v>
      </c>
      <c r="E209" t="s">
        <v>7</v>
      </c>
      <c r="F209">
        <v>0</v>
      </c>
      <c r="G209" t="str">
        <f t="shared" si="3"/>
        <v>Young</v>
      </c>
    </row>
    <row r="210" spans="1:7" x14ac:dyDescent="0.25">
      <c r="A210">
        <v>209</v>
      </c>
      <c r="B210">
        <v>68</v>
      </c>
      <c r="C210" t="s">
        <v>9</v>
      </c>
      <c r="D210">
        <v>2621</v>
      </c>
      <c r="E210" t="s">
        <v>7</v>
      </c>
      <c r="F210">
        <v>0</v>
      </c>
      <c r="G210" t="str">
        <f t="shared" si="3"/>
        <v>Senior</v>
      </c>
    </row>
    <row r="211" spans="1:7" x14ac:dyDescent="0.25">
      <c r="A211">
        <v>210</v>
      </c>
      <c r="B211">
        <v>68</v>
      </c>
      <c r="C211" t="s">
        <v>12</v>
      </c>
      <c r="D211">
        <v>2784</v>
      </c>
      <c r="E211" t="s">
        <v>7</v>
      </c>
      <c r="F211">
        <v>0</v>
      </c>
      <c r="G211" t="str">
        <f t="shared" si="3"/>
        <v>Senior</v>
      </c>
    </row>
    <row r="212" spans="1:7" x14ac:dyDescent="0.25">
      <c r="A212">
        <v>211</v>
      </c>
      <c r="B212">
        <v>64</v>
      </c>
      <c r="C212" t="s">
        <v>9</v>
      </c>
      <c r="D212">
        <v>2430</v>
      </c>
      <c r="E212" t="s">
        <v>7</v>
      </c>
      <c r="F212">
        <v>0</v>
      </c>
      <c r="G212" t="str">
        <f t="shared" si="3"/>
        <v>Senior</v>
      </c>
    </row>
    <row r="213" spans="1:7" x14ac:dyDescent="0.25">
      <c r="A213">
        <v>212</v>
      </c>
      <c r="B213">
        <v>18</v>
      </c>
      <c r="C213" t="s">
        <v>6</v>
      </c>
      <c r="D213">
        <v>1609</v>
      </c>
      <c r="E213" t="s">
        <v>7</v>
      </c>
      <c r="F213">
        <v>0</v>
      </c>
      <c r="G213" t="str">
        <f t="shared" si="3"/>
        <v>Young</v>
      </c>
    </row>
    <row r="214" spans="1:7" x14ac:dyDescent="0.25">
      <c r="A214">
        <v>213</v>
      </c>
      <c r="B214">
        <v>27</v>
      </c>
      <c r="C214" t="s">
        <v>12</v>
      </c>
      <c r="D214">
        <v>2482</v>
      </c>
      <c r="E214" t="s">
        <v>7</v>
      </c>
      <c r="F214">
        <v>0</v>
      </c>
      <c r="G214" t="str">
        <f t="shared" si="3"/>
        <v>Young</v>
      </c>
    </row>
    <row r="215" spans="1:7" x14ac:dyDescent="0.25">
      <c r="A215">
        <v>214</v>
      </c>
      <c r="B215">
        <v>74</v>
      </c>
      <c r="C215" t="s">
        <v>10</v>
      </c>
      <c r="D215">
        <v>2095</v>
      </c>
      <c r="E215" t="s">
        <v>8</v>
      </c>
      <c r="F215">
        <v>13597</v>
      </c>
      <c r="G215" t="str">
        <f t="shared" si="3"/>
        <v>Senior</v>
      </c>
    </row>
    <row r="216" spans="1:7" x14ac:dyDescent="0.25">
      <c r="A216">
        <v>215</v>
      </c>
      <c r="B216">
        <v>47</v>
      </c>
      <c r="C216" t="s">
        <v>10</v>
      </c>
      <c r="D216">
        <v>1720</v>
      </c>
      <c r="E216" t="s">
        <v>7</v>
      </c>
      <c r="F216">
        <v>0</v>
      </c>
      <c r="G216" t="str">
        <f t="shared" si="3"/>
        <v>Middle</v>
      </c>
    </row>
    <row r="217" spans="1:7" x14ac:dyDescent="0.25">
      <c r="A217">
        <v>216</v>
      </c>
      <c r="B217">
        <v>36</v>
      </c>
      <c r="C217" t="s">
        <v>10</v>
      </c>
      <c r="D217">
        <v>2102</v>
      </c>
      <c r="E217" t="s">
        <v>7</v>
      </c>
      <c r="F217">
        <v>0</v>
      </c>
      <c r="G217" t="str">
        <f t="shared" si="3"/>
        <v>Middle</v>
      </c>
    </row>
    <row r="218" spans="1:7" x14ac:dyDescent="0.25">
      <c r="A218">
        <v>217</v>
      </c>
      <c r="B218">
        <v>57</v>
      </c>
      <c r="C218" t="s">
        <v>11</v>
      </c>
      <c r="D218">
        <v>2850</v>
      </c>
      <c r="E218" t="s">
        <v>7</v>
      </c>
      <c r="F218">
        <v>0</v>
      </c>
      <c r="G218" t="str">
        <f t="shared" si="3"/>
        <v>Senior</v>
      </c>
    </row>
    <row r="219" spans="1:7" x14ac:dyDescent="0.25">
      <c r="A219">
        <v>218</v>
      </c>
      <c r="B219">
        <v>36</v>
      </c>
      <c r="C219" t="s">
        <v>10</v>
      </c>
      <c r="D219">
        <v>969</v>
      </c>
      <c r="E219" t="s">
        <v>7</v>
      </c>
      <c r="F219">
        <v>0</v>
      </c>
      <c r="G219" t="str">
        <f t="shared" si="3"/>
        <v>Middle</v>
      </c>
    </row>
    <row r="220" spans="1:7" x14ac:dyDescent="0.25">
      <c r="A220">
        <v>219</v>
      </c>
      <c r="B220">
        <v>29</v>
      </c>
      <c r="C220" t="s">
        <v>9</v>
      </c>
      <c r="D220">
        <v>1906</v>
      </c>
      <c r="E220" t="s">
        <v>7</v>
      </c>
      <c r="F220">
        <v>0</v>
      </c>
      <c r="G220" t="str">
        <f t="shared" si="3"/>
        <v>Young</v>
      </c>
    </row>
    <row r="221" spans="1:7" x14ac:dyDescent="0.25">
      <c r="A221">
        <v>220</v>
      </c>
      <c r="B221">
        <v>77</v>
      </c>
      <c r="C221" t="s">
        <v>12</v>
      </c>
      <c r="D221">
        <v>2377</v>
      </c>
      <c r="E221" t="s">
        <v>7</v>
      </c>
      <c r="F221">
        <v>0</v>
      </c>
      <c r="G221" t="str">
        <f t="shared" si="3"/>
        <v>Senior</v>
      </c>
    </row>
    <row r="222" spans="1:7" x14ac:dyDescent="0.25">
      <c r="A222">
        <v>221</v>
      </c>
      <c r="B222">
        <v>20</v>
      </c>
      <c r="C222" t="s">
        <v>12</v>
      </c>
      <c r="D222">
        <v>1916</v>
      </c>
      <c r="E222" t="s">
        <v>8</v>
      </c>
      <c r="F222">
        <v>15840</v>
      </c>
      <c r="G222" t="str">
        <f t="shared" si="3"/>
        <v>Young</v>
      </c>
    </row>
    <row r="223" spans="1:7" x14ac:dyDescent="0.25">
      <c r="A223">
        <v>222</v>
      </c>
      <c r="B223">
        <v>60</v>
      </c>
      <c r="C223" t="s">
        <v>10</v>
      </c>
      <c r="D223">
        <v>1863</v>
      </c>
      <c r="E223" t="s">
        <v>7</v>
      </c>
      <c r="F223">
        <v>0</v>
      </c>
      <c r="G223" t="str">
        <f t="shared" si="3"/>
        <v>Senior</v>
      </c>
    </row>
    <row r="224" spans="1:7" x14ac:dyDescent="0.25">
      <c r="A224">
        <v>223</v>
      </c>
      <c r="B224">
        <v>38</v>
      </c>
      <c r="C224" t="s">
        <v>9</v>
      </c>
      <c r="D224">
        <v>1512</v>
      </c>
      <c r="E224" t="s">
        <v>7</v>
      </c>
      <c r="F224">
        <v>0</v>
      </c>
      <c r="G224" t="str">
        <f t="shared" si="3"/>
        <v>Middle</v>
      </c>
    </row>
    <row r="225" spans="1:7" x14ac:dyDescent="0.25">
      <c r="A225">
        <v>224</v>
      </c>
      <c r="B225">
        <v>54</v>
      </c>
      <c r="C225" t="s">
        <v>12</v>
      </c>
      <c r="D225">
        <v>1477</v>
      </c>
      <c r="E225" t="s">
        <v>7</v>
      </c>
      <c r="F225">
        <v>0</v>
      </c>
      <c r="G225" t="str">
        <f t="shared" si="3"/>
        <v>Senior</v>
      </c>
    </row>
    <row r="226" spans="1:7" x14ac:dyDescent="0.25">
      <c r="A226">
        <v>225</v>
      </c>
      <c r="B226">
        <v>29</v>
      </c>
      <c r="C226" t="s">
        <v>10</v>
      </c>
      <c r="D226">
        <v>856</v>
      </c>
      <c r="E226" t="s">
        <v>7</v>
      </c>
      <c r="F226">
        <v>0</v>
      </c>
      <c r="G226" t="str">
        <f t="shared" si="3"/>
        <v>Young</v>
      </c>
    </row>
    <row r="227" spans="1:7" x14ac:dyDescent="0.25">
      <c r="A227">
        <v>226</v>
      </c>
      <c r="B227">
        <v>24</v>
      </c>
      <c r="C227" t="s">
        <v>10</v>
      </c>
      <c r="D227">
        <v>1627</v>
      </c>
      <c r="E227" t="s">
        <v>7</v>
      </c>
      <c r="F227">
        <v>0</v>
      </c>
      <c r="G227" t="str">
        <f t="shared" si="3"/>
        <v>Young</v>
      </c>
    </row>
    <row r="228" spans="1:7" x14ac:dyDescent="0.25">
      <c r="A228">
        <v>227</v>
      </c>
      <c r="B228">
        <v>80</v>
      </c>
      <c r="C228" t="s">
        <v>12</v>
      </c>
      <c r="D228">
        <v>2247</v>
      </c>
      <c r="E228" t="s">
        <v>7</v>
      </c>
      <c r="F228">
        <v>0</v>
      </c>
      <c r="G228" t="str">
        <f t="shared" si="3"/>
        <v>Senior</v>
      </c>
    </row>
    <row r="229" spans="1:7" x14ac:dyDescent="0.25">
      <c r="A229">
        <v>228</v>
      </c>
      <c r="B229">
        <v>70</v>
      </c>
      <c r="C229" t="s">
        <v>9</v>
      </c>
      <c r="D229">
        <v>1971</v>
      </c>
      <c r="E229" t="s">
        <v>7</v>
      </c>
      <c r="F229">
        <v>0</v>
      </c>
      <c r="G229" t="str">
        <f t="shared" si="3"/>
        <v>Senior</v>
      </c>
    </row>
    <row r="230" spans="1:7" x14ac:dyDescent="0.25">
      <c r="A230">
        <v>229</v>
      </c>
      <c r="B230">
        <v>30</v>
      </c>
      <c r="C230" t="s">
        <v>11</v>
      </c>
      <c r="D230">
        <v>808</v>
      </c>
      <c r="E230" t="s">
        <v>8</v>
      </c>
      <c r="F230">
        <v>13410</v>
      </c>
      <c r="G230" t="str">
        <f t="shared" si="3"/>
        <v>Middle</v>
      </c>
    </row>
    <row r="231" spans="1:7" x14ac:dyDescent="0.25">
      <c r="A231">
        <v>230</v>
      </c>
      <c r="B231">
        <v>59</v>
      </c>
      <c r="C231" t="s">
        <v>10</v>
      </c>
      <c r="D231">
        <v>2544</v>
      </c>
      <c r="E231" t="s">
        <v>7</v>
      </c>
      <c r="F231">
        <v>0</v>
      </c>
      <c r="G231" t="str">
        <f t="shared" si="3"/>
        <v>Senior</v>
      </c>
    </row>
    <row r="232" spans="1:7" x14ac:dyDescent="0.25">
      <c r="A232">
        <v>231</v>
      </c>
      <c r="B232">
        <v>30</v>
      </c>
      <c r="C232" t="s">
        <v>6</v>
      </c>
      <c r="D232">
        <v>2436</v>
      </c>
      <c r="E232" t="s">
        <v>7</v>
      </c>
      <c r="F232">
        <v>0</v>
      </c>
      <c r="G232" t="str">
        <f t="shared" si="3"/>
        <v>Middle</v>
      </c>
    </row>
    <row r="233" spans="1:7" x14ac:dyDescent="0.25">
      <c r="A233">
        <v>232</v>
      </c>
      <c r="B233">
        <v>67</v>
      </c>
      <c r="C233" t="s">
        <v>12</v>
      </c>
      <c r="D233">
        <v>2618</v>
      </c>
      <c r="E233" t="s">
        <v>7</v>
      </c>
      <c r="F233">
        <v>0</v>
      </c>
      <c r="G233" t="str">
        <f t="shared" si="3"/>
        <v>Senior</v>
      </c>
    </row>
    <row r="234" spans="1:7" x14ac:dyDescent="0.25">
      <c r="A234">
        <v>233</v>
      </c>
      <c r="B234">
        <v>20</v>
      </c>
      <c r="C234" t="s">
        <v>11</v>
      </c>
      <c r="D234">
        <v>2409</v>
      </c>
      <c r="E234" t="s">
        <v>7</v>
      </c>
      <c r="F234">
        <v>0</v>
      </c>
      <c r="G234" t="str">
        <f t="shared" si="3"/>
        <v>Young</v>
      </c>
    </row>
    <row r="235" spans="1:7" x14ac:dyDescent="0.25">
      <c r="A235">
        <v>234</v>
      </c>
      <c r="B235">
        <v>41</v>
      </c>
      <c r="C235" t="s">
        <v>9</v>
      </c>
      <c r="D235">
        <v>1241</v>
      </c>
      <c r="E235" t="s">
        <v>7</v>
      </c>
      <c r="F235">
        <v>0</v>
      </c>
      <c r="G235" t="str">
        <f t="shared" si="3"/>
        <v>Middle</v>
      </c>
    </row>
    <row r="236" spans="1:7" x14ac:dyDescent="0.25">
      <c r="A236">
        <v>235</v>
      </c>
      <c r="B236">
        <v>70</v>
      </c>
      <c r="C236" t="s">
        <v>9</v>
      </c>
      <c r="D236">
        <v>1085</v>
      </c>
      <c r="E236" t="s">
        <v>8</v>
      </c>
      <c r="F236">
        <v>8666</v>
      </c>
      <c r="G236" t="str">
        <f t="shared" si="3"/>
        <v>Senior</v>
      </c>
    </row>
    <row r="237" spans="1:7" x14ac:dyDescent="0.25">
      <c r="A237">
        <v>236</v>
      </c>
      <c r="B237">
        <v>38</v>
      </c>
      <c r="C237" t="s">
        <v>11</v>
      </c>
      <c r="D237">
        <v>2075</v>
      </c>
      <c r="E237" t="s">
        <v>7</v>
      </c>
      <c r="F237">
        <v>0</v>
      </c>
      <c r="G237" t="str">
        <f t="shared" si="3"/>
        <v>Middle</v>
      </c>
    </row>
    <row r="238" spans="1:7" x14ac:dyDescent="0.25">
      <c r="A238">
        <v>237</v>
      </c>
      <c r="B238">
        <v>52</v>
      </c>
      <c r="C238" t="s">
        <v>6</v>
      </c>
      <c r="D238">
        <v>1431</v>
      </c>
      <c r="E238" t="s">
        <v>8</v>
      </c>
      <c r="F238">
        <v>4160</v>
      </c>
      <c r="G238" t="str">
        <f t="shared" si="3"/>
        <v>Senior</v>
      </c>
    </row>
    <row r="239" spans="1:7" x14ac:dyDescent="0.25">
      <c r="A239">
        <v>238</v>
      </c>
      <c r="B239">
        <v>42</v>
      </c>
      <c r="C239" t="s">
        <v>11</v>
      </c>
      <c r="D239">
        <v>2091</v>
      </c>
      <c r="E239" t="s">
        <v>7</v>
      </c>
      <c r="F239">
        <v>0</v>
      </c>
      <c r="G239" t="str">
        <f t="shared" si="3"/>
        <v>Middle</v>
      </c>
    </row>
    <row r="240" spans="1:7" x14ac:dyDescent="0.25">
      <c r="A240">
        <v>239</v>
      </c>
      <c r="B240">
        <v>31</v>
      </c>
      <c r="C240" t="s">
        <v>9</v>
      </c>
      <c r="D240">
        <v>1398</v>
      </c>
      <c r="E240" t="s">
        <v>7</v>
      </c>
      <c r="F240">
        <v>0</v>
      </c>
      <c r="G240" t="str">
        <f t="shared" si="3"/>
        <v>Middle</v>
      </c>
    </row>
    <row r="241" spans="1:7" x14ac:dyDescent="0.25">
      <c r="A241">
        <v>240</v>
      </c>
      <c r="B241">
        <v>46</v>
      </c>
      <c r="C241" t="s">
        <v>10</v>
      </c>
      <c r="D241">
        <v>2624</v>
      </c>
      <c r="E241" t="s">
        <v>8</v>
      </c>
      <c r="F241">
        <v>19907</v>
      </c>
      <c r="G241" t="str">
        <f t="shared" si="3"/>
        <v>Middle</v>
      </c>
    </row>
    <row r="242" spans="1:7" x14ac:dyDescent="0.25">
      <c r="A242">
        <v>241</v>
      </c>
      <c r="B242">
        <v>61</v>
      </c>
      <c r="C242" t="s">
        <v>11</v>
      </c>
      <c r="D242">
        <v>2271</v>
      </c>
      <c r="E242" t="s">
        <v>7</v>
      </c>
      <c r="F242">
        <v>0</v>
      </c>
      <c r="G242" t="str">
        <f t="shared" si="3"/>
        <v>Senior</v>
      </c>
    </row>
    <row r="243" spans="1:7" x14ac:dyDescent="0.25">
      <c r="A243">
        <v>242</v>
      </c>
      <c r="B243">
        <v>62</v>
      </c>
      <c r="C243" t="s">
        <v>9</v>
      </c>
      <c r="D243">
        <v>2441</v>
      </c>
      <c r="E243" t="s">
        <v>7</v>
      </c>
      <c r="F243">
        <v>0</v>
      </c>
      <c r="G243" t="str">
        <f t="shared" si="3"/>
        <v>Senior</v>
      </c>
    </row>
    <row r="244" spans="1:7" x14ac:dyDescent="0.25">
      <c r="A244">
        <v>243</v>
      </c>
      <c r="B244">
        <v>22</v>
      </c>
      <c r="C244" t="s">
        <v>11</v>
      </c>
      <c r="D244">
        <v>1241</v>
      </c>
      <c r="E244" t="s">
        <v>7</v>
      </c>
      <c r="F244">
        <v>0</v>
      </c>
      <c r="G244" t="str">
        <f t="shared" si="3"/>
        <v>Young</v>
      </c>
    </row>
    <row r="245" spans="1:7" x14ac:dyDescent="0.25">
      <c r="A245">
        <v>244</v>
      </c>
      <c r="B245">
        <v>71</v>
      </c>
      <c r="C245" t="s">
        <v>9</v>
      </c>
      <c r="D245">
        <v>2395</v>
      </c>
      <c r="E245" t="s">
        <v>7</v>
      </c>
      <c r="F245">
        <v>0</v>
      </c>
      <c r="G245" t="str">
        <f t="shared" si="3"/>
        <v>Senior</v>
      </c>
    </row>
    <row r="246" spans="1:7" x14ac:dyDescent="0.25">
      <c r="A246">
        <v>245</v>
      </c>
      <c r="B246">
        <v>48</v>
      </c>
      <c r="C246" t="s">
        <v>10</v>
      </c>
      <c r="D246">
        <v>2751</v>
      </c>
      <c r="E246" t="s">
        <v>7</v>
      </c>
      <c r="F246">
        <v>0</v>
      </c>
      <c r="G246" t="str">
        <f t="shared" si="3"/>
        <v>Middle</v>
      </c>
    </row>
    <row r="247" spans="1:7" x14ac:dyDescent="0.25">
      <c r="A247">
        <v>246</v>
      </c>
      <c r="B247">
        <v>55</v>
      </c>
      <c r="C247" t="s">
        <v>6</v>
      </c>
      <c r="D247">
        <v>2223</v>
      </c>
      <c r="E247" t="s">
        <v>7</v>
      </c>
      <c r="F247">
        <v>0</v>
      </c>
      <c r="G247" t="str">
        <f t="shared" si="3"/>
        <v>Senior</v>
      </c>
    </row>
    <row r="248" spans="1:7" x14ac:dyDescent="0.25">
      <c r="A248">
        <v>247</v>
      </c>
      <c r="B248">
        <v>21</v>
      </c>
      <c r="C248" t="s">
        <v>11</v>
      </c>
      <c r="D248">
        <v>2681</v>
      </c>
      <c r="E248" t="s">
        <v>7</v>
      </c>
      <c r="F248">
        <v>0</v>
      </c>
      <c r="G248" t="str">
        <f t="shared" si="3"/>
        <v>Young</v>
      </c>
    </row>
    <row r="249" spans="1:7" x14ac:dyDescent="0.25">
      <c r="A249">
        <v>248</v>
      </c>
      <c r="B249">
        <v>67</v>
      </c>
      <c r="C249" t="s">
        <v>9</v>
      </c>
      <c r="D249">
        <v>1548</v>
      </c>
      <c r="E249" t="s">
        <v>7</v>
      </c>
      <c r="F249">
        <v>0</v>
      </c>
      <c r="G249" t="str">
        <f t="shared" si="3"/>
        <v>Senior</v>
      </c>
    </row>
    <row r="250" spans="1:7" x14ac:dyDescent="0.25">
      <c r="A250">
        <v>249</v>
      </c>
      <c r="B250">
        <v>54</v>
      </c>
      <c r="C250" t="s">
        <v>6</v>
      </c>
      <c r="D250">
        <v>1424</v>
      </c>
      <c r="E250" t="s">
        <v>7</v>
      </c>
      <c r="F250">
        <v>0</v>
      </c>
      <c r="G250" t="str">
        <f t="shared" si="3"/>
        <v>Senior</v>
      </c>
    </row>
    <row r="251" spans="1:7" x14ac:dyDescent="0.25">
      <c r="A251">
        <v>250</v>
      </c>
      <c r="B251">
        <v>46</v>
      </c>
      <c r="C251" t="s">
        <v>9</v>
      </c>
      <c r="D251">
        <v>2864</v>
      </c>
      <c r="E251" t="s">
        <v>8</v>
      </c>
      <c r="F251">
        <v>15326</v>
      </c>
      <c r="G251" t="str">
        <f t="shared" si="3"/>
        <v>Middle</v>
      </c>
    </row>
    <row r="252" spans="1:7" x14ac:dyDescent="0.25">
      <c r="A252">
        <v>251</v>
      </c>
      <c r="B252">
        <v>24</v>
      </c>
      <c r="C252" t="s">
        <v>6</v>
      </c>
      <c r="D252">
        <v>2293</v>
      </c>
      <c r="E252" t="s">
        <v>7</v>
      </c>
      <c r="F252">
        <v>0</v>
      </c>
      <c r="G252" t="str">
        <f t="shared" si="3"/>
        <v>Young</v>
      </c>
    </row>
    <row r="253" spans="1:7" x14ac:dyDescent="0.25">
      <c r="A253">
        <v>252</v>
      </c>
      <c r="B253">
        <v>64</v>
      </c>
      <c r="C253" t="s">
        <v>9</v>
      </c>
      <c r="D253">
        <v>2225</v>
      </c>
      <c r="E253" t="s">
        <v>7</v>
      </c>
      <c r="F253">
        <v>0</v>
      </c>
      <c r="G253" t="str">
        <f t="shared" si="3"/>
        <v>Senior</v>
      </c>
    </row>
    <row r="254" spans="1:7" x14ac:dyDescent="0.25">
      <c r="A254">
        <v>253</v>
      </c>
      <c r="B254">
        <v>45</v>
      </c>
      <c r="C254" t="s">
        <v>9</v>
      </c>
      <c r="D254">
        <v>2282</v>
      </c>
      <c r="E254" t="s">
        <v>7</v>
      </c>
      <c r="F254">
        <v>0</v>
      </c>
      <c r="G254" t="str">
        <f t="shared" si="3"/>
        <v>Middle</v>
      </c>
    </row>
    <row r="255" spans="1:7" x14ac:dyDescent="0.25">
      <c r="A255">
        <v>254</v>
      </c>
      <c r="B255">
        <v>36</v>
      </c>
      <c r="C255" t="s">
        <v>12</v>
      </c>
      <c r="D255">
        <v>2453</v>
      </c>
      <c r="E255" t="s">
        <v>7</v>
      </c>
      <c r="F255">
        <v>0</v>
      </c>
      <c r="G255" t="str">
        <f t="shared" si="3"/>
        <v>Middle</v>
      </c>
    </row>
    <row r="256" spans="1:7" x14ac:dyDescent="0.25">
      <c r="A256">
        <v>255</v>
      </c>
      <c r="B256">
        <v>75</v>
      </c>
      <c r="C256" t="s">
        <v>11</v>
      </c>
      <c r="D256">
        <v>1257</v>
      </c>
      <c r="E256" t="s">
        <v>7</v>
      </c>
      <c r="F256">
        <v>0</v>
      </c>
      <c r="G256" t="str">
        <f t="shared" si="3"/>
        <v>Senior</v>
      </c>
    </row>
    <row r="257" spans="1:7" x14ac:dyDescent="0.25">
      <c r="A257">
        <v>256</v>
      </c>
      <c r="B257">
        <v>52</v>
      </c>
      <c r="C257" t="s">
        <v>11</v>
      </c>
      <c r="D257">
        <v>1145</v>
      </c>
      <c r="E257" t="s">
        <v>7</v>
      </c>
      <c r="F257">
        <v>0</v>
      </c>
      <c r="G257" t="str">
        <f t="shared" si="3"/>
        <v>Senior</v>
      </c>
    </row>
    <row r="258" spans="1:7" x14ac:dyDescent="0.25">
      <c r="A258">
        <v>257</v>
      </c>
      <c r="B258">
        <v>53</v>
      </c>
      <c r="C258" t="s">
        <v>6</v>
      </c>
      <c r="D258">
        <v>948</v>
      </c>
      <c r="E258" t="s">
        <v>8</v>
      </c>
      <c r="F258">
        <v>8047</v>
      </c>
      <c r="G258" t="str">
        <f t="shared" si="3"/>
        <v>Senior</v>
      </c>
    </row>
    <row r="259" spans="1:7" x14ac:dyDescent="0.25">
      <c r="A259">
        <v>258</v>
      </c>
      <c r="B259">
        <v>35</v>
      </c>
      <c r="C259" t="s">
        <v>9</v>
      </c>
      <c r="D259">
        <v>2865</v>
      </c>
      <c r="E259" t="s">
        <v>7</v>
      </c>
      <c r="F259">
        <v>0</v>
      </c>
      <c r="G259" t="str">
        <f t="shared" ref="G259:G322" si="4">IF(B259&lt;30,"Young",IF(B259&lt;50,"Middle","Senior"))</f>
        <v>Middle</v>
      </c>
    </row>
    <row r="260" spans="1:7" x14ac:dyDescent="0.25">
      <c r="A260">
        <v>259</v>
      </c>
      <c r="B260">
        <v>36</v>
      </c>
      <c r="C260" t="s">
        <v>6</v>
      </c>
      <c r="D260">
        <v>1013</v>
      </c>
      <c r="E260" t="s">
        <v>7</v>
      </c>
      <c r="F260">
        <v>0</v>
      </c>
      <c r="G260" t="str">
        <f t="shared" si="4"/>
        <v>Middle</v>
      </c>
    </row>
    <row r="261" spans="1:7" x14ac:dyDescent="0.25">
      <c r="A261">
        <v>260</v>
      </c>
      <c r="B261">
        <v>69</v>
      </c>
      <c r="C261" t="s">
        <v>6</v>
      </c>
      <c r="D261">
        <v>2885</v>
      </c>
      <c r="E261" t="s">
        <v>7</v>
      </c>
      <c r="F261">
        <v>0</v>
      </c>
      <c r="G261" t="str">
        <f t="shared" si="4"/>
        <v>Senior</v>
      </c>
    </row>
    <row r="262" spans="1:7" x14ac:dyDescent="0.25">
      <c r="A262">
        <v>261</v>
      </c>
      <c r="B262">
        <v>65</v>
      </c>
      <c r="C262" t="s">
        <v>11</v>
      </c>
      <c r="D262">
        <v>2719</v>
      </c>
      <c r="E262" t="s">
        <v>7</v>
      </c>
      <c r="F262">
        <v>0</v>
      </c>
      <c r="G262" t="str">
        <f t="shared" si="4"/>
        <v>Senior</v>
      </c>
    </row>
    <row r="263" spans="1:7" x14ac:dyDescent="0.25">
      <c r="A263">
        <v>262</v>
      </c>
      <c r="B263">
        <v>66</v>
      </c>
      <c r="C263" t="s">
        <v>6</v>
      </c>
      <c r="D263">
        <v>2920</v>
      </c>
      <c r="E263" t="s">
        <v>7</v>
      </c>
      <c r="F263">
        <v>0</v>
      </c>
      <c r="G263" t="str">
        <f t="shared" si="4"/>
        <v>Senior</v>
      </c>
    </row>
    <row r="264" spans="1:7" x14ac:dyDescent="0.25">
      <c r="A264">
        <v>263</v>
      </c>
      <c r="B264">
        <v>72</v>
      </c>
      <c r="C264" t="s">
        <v>11</v>
      </c>
      <c r="D264">
        <v>1514</v>
      </c>
      <c r="E264" t="s">
        <v>7</v>
      </c>
      <c r="F264">
        <v>0</v>
      </c>
      <c r="G264" t="str">
        <f t="shared" si="4"/>
        <v>Senior</v>
      </c>
    </row>
    <row r="265" spans="1:7" x14ac:dyDescent="0.25">
      <c r="A265">
        <v>264</v>
      </c>
      <c r="B265">
        <v>52</v>
      </c>
      <c r="C265" t="s">
        <v>11</v>
      </c>
      <c r="D265">
        <v>2908</v>
      </c>
      <c r="E265" t="s">
        <v>7</v>
      </c>
      <c r="F265">
        <v>0</v>
      </c>
      <c r="G265" t="str">
        <f t="shared" si="4"/>
        <v>Senior</v>
      </c>
    </row>
    <row r="266" spans="1:7" x14ac:dyDescent="0.25">
      <c r="A266">
        <v>265</v>
      </c>
      <c r="B266">
        <v>40</v>
      </c>
      <c r="C266" t="s">
        <v>11</v>
      </c>
      <c r="D266">
        <v>2859</v>
      </c>
      <c r="E266" t="s">
        <v>7</v>
      </c>
      <c r="F266">
        <v>0</v>
      </c>
      <c r="G266" t="str">
        <f t="shared" si="4"/>
        <v>Middle</v>
      </c>
    </row>
    <row r="267" spans="1:7" x14ac:dyDescent="0.25">
      <c r="A267">
        <v>266</v>
      </c>
      <c r="B267">
        <v>77</v>
      </c>
      <c r="C267" t="s">
        <v>12</v>
      </c>
      <c r="D267">
        <v>2045</v>
      </c>
      <c r="E267" t="s">
        <v>8</v>
      </c>
      <c r="F267">
        <v>1429</v>
      </c>
      <c r="G267" t="str">
        <f t="shared" si="4"/>
        <v>Senior</v>
      </c>
    </row>
    <row r="268" spans="1:7" x14ac:dyDescent="0.25">
      <c r="A268">
        <v>267</v>
      </c>
      <c r="B268">
        <v>36</v>
      </c>
      <c r="C268" t="s">
        <v>10</v>
      </c>
      <c r="D268">
        <v>1527</v>
      </c>
      <c r="E268" t="s">
        <v>7</v>
      </c>
      <c r="F268">
        <v>0</v>
      </c>
      <c r="G268" t="str">
        <f t="shared" si="4"/>
        <v>Middle</v>
      </c>
    </row>
    <row r="269" spans="1:7" x14ac:dyDescent="0.25">
      <c r="A269">
        <v>268</v>
      </c>
      <c r="B269">
        <v>55</v>
      </c>
      <c r="C269" t="s">
        <v>6</v>
      </c>
      <c r="D269">
        <v>2259</v>
      </c>
      <c r="E269" t="s">
        <v>7</v>
      </c>
      <c r="F269">
        <v>0</v>
      </c>
      <c r="G269" t="str">
        <f t="shared" si="4"/>
        <v>Senior</v>
      </c>
    </row>
    <row r="270" spans="1:7" x14ac:dyDescent="0.25">
      <c r="A270">
        <v>269</v>
      </c>
      <c r="B270">
        <v>54</v>
      </c>
      <c r="C270" t="s">
        <v>9</v>
      </c>
      <c r="D270">
        <v>2767</v>
      </c>
      <c r="E270" t="s">
        <v>7</v>
      </c>
      <c r="F270">
        <v>0</v>
      </c>
      <c r="G270" t="str">
        <f t="shared" si="4"/>
        <v>Senior</v>
      </c>
    </row>
    <row r="271" spans="1:7" x14ac:dyDescent="0.25">
      <c r="A271">
        <v>270</v>
      </c>
      <c r="B271">
        <v>25</v>
      </c>
      <c r="C271" t="s">
        <v>12</v>
      </c>
      <c r="D271">
        <v>1738</v>
      </c>
      <c r="E271" t="s">
        <v>7</v>
      </c>
      <c r="F271">
        <v>0</v>
      </c>
      <c r="G271" t="str">
        <f t="shared" si="4"/>
        <v>Young</v>
      </c>
    </row>
    <row r="272" spans="1:7" x14ac:dyDescent="0.25">
      <c r="A272">
        <v>271</v>
      </c>
      <c r="B272">
        <v>39</v>
      </c>
      <c r="C272" t="s">
        <v>9</v>
      </c>
      <c r="D272">
        <v>2253</v>
      </c>
      <c r="E272" t="s">
        <v>8</v>
      </c>
      <c r="F272">
        <v>5091</v>
      </c>
      <c r="G272" t="str">
        <f t="shared" si="4"/>
        <v>Middle</v>
      </c>
    </row>
    <row r="273" spans="1:7" x14ac:dyDescent="0.25">
      <c r="A273">
        <v>272</v>
      </c>
      <c r="B273">
        <v>64</v>
      </c>
      <c r="C273" t="s">
        <v>6</v>
      </c>
      <c r="D273">
        <v>2383</v>
      </c>
      <c r="E273" t="s">
        <v>7</v>
      </c>
      <c r="F273">
        <v>0</v>
      </c>
      <c r="G273" t="str">
        <f t="shared" si="4"/>
        <v>Senior</v>
      </c>
    </row>
    <row r="274" spans="1:7" x14ac:dyDescent="0.25">
      <c r="A274">
        <v>273</v>
      </c>
      <c r="B274">
        <v>43</v>
      </c>
      <c r="C274" t="s">
        <v>9</v>
      </c>
      <c r="D274">
        <v>2742</v>
      </c>
      <c r="E274" t="s">
        <v>7</v>
      </c>
      <c r="F274">
        <v>0</v>
      </c>
      <c r="G274" t="str">
        <f t="shared" si="4"/>
        <v>Middle</v>
      </c>
    </row>
    <row r="275" spans="1:7" x14ac:dyDescent="0.25">
      <c r="A275">
        <v>274</v>
      </c>
      <c r="B275">
        <v>74</v>
      </c>
      <c r="C275" t="s">
        <v>11</v>
      </c>
      <c r="D275">
        <v>2529</v>
      </c>
      <c r="E275" t="s">
        <v>8</v>
      </c>
      <c r="F275">
        <v>8402</v>
      </c>
      <c r="G275" t="str">
        <f t="shared" si="4"/>
        <v>Senior</v>
      </c>
    </row>
    <row r="276" spans="1:7" x14ac:dyDescent="0.25">
      <c r="A276">
        <v>275</v>
      </c>
      <c r="B276">
        <v>69</v>
      </c>
      <c r="C276" t="s">
        <v>9</v>
      </c>
      <c r="D276">
        <v>2239</v>
      </c>
      <c r="E276" t="s">
        <v>7</v>
      </c>
      <c r="F276">
        <v>0</v>
      </c>
      <c r="G276" t="str">
        <f t="shared" si="4"/>
        <v>Senior</v>
      </c>
    </row>
    <row r="277" spans="1:7" x14ac:dyDescent="0.25">
      <c r="A277">
        <v>276</v>
      </c>
      <c r="B277">
        <v>53</v>
      </c>
      <c r="C277" t="s">
        <v>12</v>
      </c>
      <c r="D277">
        <v>1034</v>
      </c>
      <c r="E277" t="s">
        <v>8</v>
      </c>
      <c r="F277">
        <v>1048</v>
      </c>
      <c r="G277" t="str">
        <f t="shared" si="4"/>
        <v>Senior</v>
      </c>
    </row>
    <row r="278" spans="1:7" x14ac:dyDescent="0.25">
      <c r="A278">
        <v>277</v>
      </c>
      <c r="B278">
        <v>36</v>
      </c>
      <c r="C278" t="s">
        <v>12</v>
      </c>
      <c r="D278">
        <v>1749</v>
      </c>
      <c r="E278" t="s">
        <v>8</v>
      </c>
      <c r="F278">
        <v>7423</v>
      </c>
      <c r="G278" t="str">
        <f t="shared" si="4"/>
        <v>Middle</v>
      </c>
    </row>
    <row r="279" spans="1:7" x14ac:dyDescent="0.25">
      <c r="A279">
        <v>278</v>
      </c>
      <c r="B279">
        <v>71</v>
      </c>
      <c r="C279" t="s">
        <v>10</v>
      </c>
      <c r="D279">
        <v>2380</v>
      </c>
      <c r="E279" t="s">
        <v>7</v>
      </c>
      <c r="F279">
        <v>0</v>
      </c>
      <c r="G279" t="str">
        <f t="shared" si="4"/>
        <v>Senior</v>
      </c>
    </row>
    <row r="280" spans="1:7" x14ac:dyDescent="0.25">
      <c r="A280">
        <v>279</v>
      </c>
      <c r="B280">
        <v>34</v>
      </c>
      <c r="C280" t="s">
        <v>9</v>
      </c>
      <c r="D280">
        <v>1217</v>
      </c>
      <c r="E280" t="s">
        <v>7</v>
      </c>
      <c r="F280">
        <v>0</v>
      </c>
      <c r="G280" t="str">
        <f t="shared" si="4"/>
        <v>Middle</v>
      </c>
    </row>
    <row r="281" spans="1:7" x14ac:dyDescent="0.25">
      <c r="A281">
        <v>280</v>
      </c>
      <c r="B281">
        <v>37</v>
      </c>
      <c r="C281" t="s">
        <v>12</v>
      </c>
      <c r="D281">
        <v>2874</v>
      </c>
      <c r="E281" t="s">
        <v>7</v>
      </c>
      <c r="F281">
        <v>0</v>
      </c>
      <c r="G281" t="str">
        <f t="shared" si="4"/>
        <v>Middle</v>
      </c>
    </row>
    <row r="282" spans="1:7" x14ac:dyDescent="0.25">
      <c r="A282">
        <v>281</v>
      </c>
      <c r="B282">
        <v>65</v>
      </c>
      <c r="C282" t="s">
        <v>6</v>
      </c>
      <c r="D282">
        <v>1893</v>
      </c>
      <c r="E282" t="s">
        <v>8</v>
      </c>
      <c r="F282">
        <v>14025</v>
      </c>
      <c r="G282" t="str">
        <f t="shared" si="4"/>
        <v>Senior</v>
      </c>
    </row>
    <row r="283" spans="1:7" x14ac:dyDescent="0.25">
      <c r="A283">
        <v>282</v>
      </c>
      <c r="B283">
        <v>74</v>
      </c>
      <c r="C283" t="s">
        <v>12</v>
      </c>
      <c r="D283">
        <v>1771</v>
      </c>
      <c r="E283" t="s">
        <v>8</v>
      </c>
      <c r="F283">
        <v>12946</v>
      </c>
      <c r="G283" t="str">
        <f t="shared" si="4"/>
        <v>Senior</v>
      </c>
    </row>
    <row r="284" spans="1:7" x14ac:dyDescent="0.25">
      <c r="A284">
        <v>283</v>
      </c>
      <c r="B284">
        <v>45</v>
      </c>
      <c r="C284" t="s">
        <v>10</v>
      </c>
      <c r="D284">
        <v>1252</v>
      </c>
      <c r="E284" t="s">
        <v>7</v>
      </c>
      <c r="F284">
        <v>0</v>
      </c>
      <c r="G284" t="str">
        <f t="shared" si="4"/>
        <v>Middle</v>
      </c>
    </row>
    <row r="285" spans="1:7" x14ac:dyDescent="0.25">
      <c r="A285">
        <v>284</v>
      </c>
      <c r="B285">
        <v>62</v>
      </c>
      <c r="C285" t="s">
        <v>6</v>
      </c>
      <c r="D285">
        <v>2217</v>
      </c>
      <c r="E285" t="s">
        <v>7</v>
      </c>
      <c r="F285">
        <v>0</v>
      </c>
      <c r="G285" t="str">
        <f t="shared" si="4"/>
        <v>Senior</v>
      </c>
    </row>
    <row r="286" spans="1:7" x14ac:dyDescent="0.25">
      <c r="A286">
        <v>285</v>
      </c>
      <c r="B286">
        <v>61</v>
      </c>
      <c r="C286" t="s">
        <v>11</v>
      </c>
      <c r="D286">
        <v>2433</v>
      </c>
      <c r="E286" t="s">
        <v>8</v>
      </c>
      <c r="F286">
        <v>2867</v>
      </c>
      <c r="G286" t="str">
        <f t="shared" si="4"/>
        <v>Senior</v>
      </c>
    </row>
    <row r="287" spans="1:7" x14ac:dyDescent="0.25">
      <c r="A287">
        <v>286</v>
      </c>
      <c r="B287">
        <v>31</v>
      </c>
      <c r="C287" t="s">
        <v>9</v>
      </c>
      <c r="D287">
        <v>2342</v>
      </c>
      <c r="E287" t="s">
        <v>7</v>
      </c>
      <c r="F287">
        <v>0</v>
      </c>
      <c r="G287" t="str">
        <f t="shared" si="4"/>
        <v>Middle</v>
      </c>
    </row>
    <row r="288" spans="1:7" x14ac:dyDescent="0.25">
      <c r="A288">
        <v>287</v>
      </c>
      <c r="B288">
        <v>32</v>
      </c>
      <c r="C288" t="s">
        <v>9</v>
      </c>
      <c r="D288">
        <v>1205</v>
      </c>
      <c r="E288" t="s">
        <v>7</v>
      </c>
      <c r="F288">
        <v>0</v>
      </c>
      <c r="G288" t="str">
        <f t="shared" si="4"/>
        <v>Middle</v>
      </c>
    </row>
    <row r="289" spans="1:7" x14ac:dyDescent="0.25">
      <c r="A289">
        <v>288</v>
      </c>
      <c r="B289">
        <v>64</v>
      </c>
      <c r="C289" t="s">
        <v>9</v>
      </c>
      <c r="D289">
        <v>1014</v>
      </c>
      <c r="E289" t="s">
        <v>7</v>
      </c>
      <c r="F289">
        <v>0</v>
      </c>
      <c r="G289" t="str">
        <f t="shared" si="4"/>
        <v>Senior</v>
      </c>
    </row>
    <row r="290" spans="1:7" x14ac:dyDescent="0.25">
      <c r="A290">
        <v>289</v>
      </c>
      <c r="B290">
        <v>62</v>
      </c>
      <c r="C290" t="s">
        <v>6</v>
      </c>
      <c r="D290">
        <v>949</v>
      </c>
      <c r="E290" t="s">
        <v>7</v>
      </c>
      <c r="F290">
        <v>0</v>
      </c>
      <c r="G290" t="str">
        <f t="shared" si="4"/>
        <v>Senior</v>
      </c>
    </row>
    <row r="291" spans="1:7" x14ac:dyDescent="0.25">
      <c r="A291">
        <v>290</v>
      </c>
      <c r="B291">
        <v>35</v>
      </c>
      <c r="C291" t="s">
        <v>11</v>
      </c>
      <c r="D291">
        <v>2720</v>
      </c>
      <c r="E291" t="s">
        <v>7</v>
      </c>
      <c r="F291">
        <v>0</v>
      </c>
      <c r="G291" t="str">
        <f t="shared" si="4"/>
        <v>Middle</v>
      </c>
    </row>
    <row r="292" spans="1:7" x14ac:dyDescent="0.25">
      <c r="A292">
        <v>291</v>
      </c>
      <c r="B292">
        <v>31</v>
      </c>
      <c r="C292" t="s">
        <v>11</v>
      </c>
      <c r="D292">
        <v>2478</v>
      </c>
      <c r="E292" t="s">
        <v>7</v>
      </c>
      <c r="F292">
        <v>0</v>
      </c>
      <c r="G292" t="str">
        <f t="shared" si="4"/>
        <v>Middle</v>
      </c>
    </row>
    <row r="293" spans="1:7" x14ac:dyDescent="0.25">
      <c r="A293">
        <v>292</v>
      </c>
      <c r="B293">
        <v>59</v>
      </c>
      <c r="C293" t="s">
        <v>12</v>
      </c>
      <c r="D293">
        <v>1138</v>
      </c>
      <c r="E293" t="s">
        <v>7</v>
      </c>
      <c r="F293">
        <v>0</v>
      </c>
      <c r="G293" t="str">
        <f t="shared" si="4"/>
        <v>Senior</v>
      </c>
    </row>
    <row r="294" spans="1:7" x14ac:dyDescent="0.25">
      <c r="A294">
        <v>293</v>
      </c>
      <c r="B294">
        <v>53</v>
      </c>
      <c r="C294" t="s">
        <v>11</v>
      </c>
      <c r="D294">
        <v>2585</v>
      </c>
      <c r="E294" t="s">
        <v>7</v>
      </c>
      <c r="F294">
        <v>0</v>
      </c>
      <c r="G294" t="str">
        <f t="shared" si="4"/>
        <v>Senior</v>
      </c>
    </row>
    <row r="295" spans="1:7" x14ac:dyDescent="0.25">
      <c r="A295">
        <v>294</v>
      </c>
      <c r="B295">
        <v>25</v>
      </c>
      <c r="C295" t="s">
        <v>10</v>
      </c>
      <c r="D295">
        <v>940</v>
      </c>
      <c r="E295" t="s">
        <v>7</v>
      </c>
      <c r="F295">
        <v>0</v>
      </c>
      <c r="G295" t="str">
        <f t="shared" si="4"/>
        <v>Young</v>
      </c>
    </row>
    <row r="296" spans="1:7" x14ac:dyDescent="0.25">
      <c r="A296">
        <v>295</v>
      </c>
      <c r="B296">
        <v>29</v>
      </c>
      <c r="C296" t="s">
        <v>12</v>
      </c>
      <c r="D296">
        <v>2019</v>
      </c>
      <c r="E296" t="s">
        <v>7</v>
      </c>
      <c r="F296">
        <v>0</v>
      </c>
      <c r="G296" t="str">
        <f t="shared" si="4"/>
        <v>Young</v>
      </c>
    </row>
    <row r="297" spans="1:7" x14ac:dyDescent="0.25">
      <c r="A297">
        <v>296</v>
      </c>
      <c r="B297">
        <v>42</v>
      </c>
      <c r="C297" t="s">
        <v>6</v>
      </c>
      <c r="D297">
        <v>2311</v>
      </c>
      <c r="E297" t="s">
        <v>7</v>
      </c>
      <c r="F297">
        <v>0</v>
      </c>
      <c r="G297" t="str">
        <f t="shared" si="4"/>
        <v>Middle</v>
      </c>
    </row>
    <row r="298" spans="1:7" x14ac:dyDescent="0.25">
      <c r="A298">
        <v>297</v>
      </c>
      <c r="B298">
        <v>64</v>
      </c>
      <c r="C298" t="s">
        <v>6</v>
      </c>
      <c r="D298">
        <v>1624</v>
      </c>
      <c r="E298" t="s">
        <v>7</v>
      </c>
      <c r="F298">
        <v>0</v>
      </c>
      <c r="G298" t="str">
        <f t="shared" si="4"/>
        <v>Senior</v>
      </c>
    </row>
    <row r="299" spans="1:7" x14ac:dyDescent="0.25">
      <c r="A299">
        <v>298</v>
      </c>
      <c r="B299">
        <v>75</v>
      </c>
      <c r="C299" t="s">
        <v>9</v>
      </c>
      <c r="D299">
        <v>1490</v>
      </c>
      <c r="E299" t="s">
        <v>7</v>
      </c>
      <c r="F299">
        <v>0</v>
      </c>
      <c r="G299" t="str">
        <f t="shared" si="4"/>
        <v>Senior</v>
      </c>
    </row>
    <row r="300" spans="1:7" x14ac:dyDescent="0.25">
      <c r="A300">
        <v>299</v>
      </c>
      <c r="B300">
        <v>36</v>
      </c>
      <c r="C300" t="s">
        <v>6</v>
      </c>
      <c r="D300">
        <v>2255</v>
      </c>
      <c r="E300" t="s">
        <v>7</v>
      </c>
      <c r="F300">
        <v>0</v>
      </c>
      <c r="G300" t="str">
        <f t="shared" si="4"/>
        <v>Middle</v>
      </c>
    </row>
    <row r="301" spans="1:7" x14ac:dyDescent="0.25">
      <c r="A301">
        <v>300</v>
      </c>
      <c r="B301">
        <v>54</v>
      </c>
      <c r="C301" t="s">
        <v>10</v>
      </c>
      <c r="D301">
        <v>2945</v>
      </c>
      <c r="E301" t="s">
        <v>7</v>
      </c>
      <c r="F301">
        <v>0</v>
      </c>
      <c r="G301" t="str">
        <f t="shared" si="4"/>
        <v>Senior</v>
      </c>
    </row>
    <row r="302" spans="1:7" x14ac:dyDescent="0.25">
      <c r="A302">
        <v>301</v>
      </c>
      <c r="B302">
        <v>28</v>
      </c>
      <c r="C302" t="s">
        <v>12</v>
      </c>
      <c r="D302">
        <v>2120</v>
      </c>
      <c r="E302" t="s">
        <v>7</v>
      </c>
      <c r="F302">
        <v>0</v>
      </c>
      <c r="G302" t="str">
        <f t="shared" si="4"/>
        <v>Young</v>
      </c>
    </row>
    <row r="303" spans="1:7" x14ac:dyDescent="0.25">
      <c r="A303">
        <v>302</v>
      </c>
      <c r="B303">
        <v>42</v>
      </c>
      <c r="C303" t="s">
        <v>9</v>
      </c>
      <c r="D303">
        <v>1495</v>
      </c>
      <c r="E303" t="s">
        <v>7</v>
      </c>
      <c r="F303">
        <v>0</v>
      </c>
      <c r="G303" t="str">
        <f t="shared" si="4"/>
        <v>Middle</v>
      </c>
    </row>
    <row r="304" spans="1:7" x14ac:dyDescent="0.25">
      <c r="A304">
        <v>303</v>
      </c>
      <c r="B304">
        <v>65</v>
      </c>
      <c r="C304" t="s">
        <v>10</v>
      </c>
      <c r="D304">
        <v>2245</v>
      </c>
      <c r="E304" t="s">
        <v>7</v>
      </c>
      <c r="F304">
        <v>0</v>
      </c>
      <c r="G304" t="str">
        <f t="shared" si="4"/>
        <v>Senior</v>
      </c>
    </row>
    <row r="305" spans="1:7" x14ac:dyDescent="0.25">
      <c r="A305">
        <v>304</v>
      </c>
      <c r="B305">
        <v>48</v>
      </c>
      <c r="C305" t="s">
        <v>12</v>
      </c>
      <c r="D305">
        <v>2983</v>
      </c>
      <c r="E305" t="s">
        <v>7</v>
      </c>
      <c r="F305">
        <v>0</v>
      </c>
      <c r="G305" t="str">
        <f t="shared" si="4"/>
        <v>Middle</v>
      </c>
    </row>
    <row r="306" spans="1:7" x14ac:dyDescent="0.25">
      <c r="A306">
        <v>305</v>
      </c>
      <c r="B306">
        <v>75</v>
      </c>
      <c r="C306" t="s">
        <v>9</v>
      </c>
      <c r="D306">
        <v>821</v>
      </c>
      <c r="E306" t="s">
        <v>7</v>
      </c>
      <c r="F306">
        <v>0</v>
      </c>
      <c r="G306" t="str">
        <f t="shared" si="4"/>
        <v>Senior</v>
      </c>
    </row>
    <row r="307" spans="1:7" x14ac:dyDescent="0.25">
      <c r="A307">
        <v>306</v>
      </c>
      <c r="B307">
        <v>49</v>
      </c>
      <c r="C307" t="s">
        <v>11</v>
      </c>
      <c r="D307">
        <v>2810</v>
      </c>
      <c r="E307" t="s">
        <v>7</v>
      </c>
      <c r="F307">
        <v>0</v>
      </c>
      <c r="G307" t="str">
        <f t="shared" si="4"/>
        <v>Middle</v>
      </c>
    </row>
    <row r="308" spans="1:7" x14ac:dyDescent="0.25">
      <c r="A308">
        <v>307</v>
      </c>
      <c r="B308">
        <v>61</v>
      </c>
      <c r="C308" t="s">
        <v>9</v>
      </c>
      <c r="D308">
        <v>1500</v>
      </c>
      <c r="E308" t="s">
        <v>7</v>
      </c>
      <c r="F308">
        <v>0</v>
      </c>
      <c r="G308" t="str">
        <f t="shared" si="4"/>
        <v>Senior</v>
      </c>
    </row>
    <row r="309" spans="1:7" x14ac:dyDescent="0.25">
      <c r="A309">
        <v>308</v>
      </c>
      <c r="B309">
        <v>42</v>
      </c>
      <c r="C309" t="s">
        <v>12</v>
      </c>
      <c r="D309">
        <v>1032</v>
      </c>
      <c r="E309" t="s">
        <v>8</v>
      </c>
      <c r="F309">
        <v>3432</v>
      </c>
      <c r="G309" t="str">
        <f t="shared" si="4"/>
        <v>Middle</v>
      </c>
    </row>
    <row r="310" spans="1:7" x14ac:dyDescent="0.25">
      <c r="A310">
        <v>309</v>
      </c>
      <c r="B310">
        <v>50</v>
      </c>
      <c r="C310" t="s">
        <v>6</v>
      </c>
      <c r="D310">
        <v>883</v>
      </c>
      <c r="E310" t="s">
        <v>7</v>
      </c>
      <c r="F310">
        <v>0</v>
      </c>
      <c r="G310" t="str">
        <f t="shared" si="4"/>
        <v>Senior</v>
      </c>
    </row>
    <row r="311" spans="1:7" x14ac:dyDescent="0.25">
      <c r="A311">
        <v>310</v>
      </c>
      <c r="B311">
        <v>26</v>
      </c>
      <c r="C311" t="s">
        <v>12</v>
      </c>
      <c r="D311">
        <v>2661</v>
      </c>
      <c r="E311" t="s">
        <v>7</v>
      </c>
      <c r="F311">
        <v>0</v>
      </c>
      <c r="G311" t="str">
        <f t="shared" si="4"/>
        <v>Young</v>
      </c>
    </row>
    <row r="312" spans="1:7" x14ac:dyDescent="0.25">
      <c r="A312">
        <v>311</v>
      </c>
      <c r="B312">
        <v>57</v>
      </c>
      <c r="C312" t="s">
        <v>11</v>
      </c>
      <c r="D312">
        <v>2053</v>
      </c>
      <c r="E312" t="s">
        <v>7</v>
      </c>
      <c r="F312">
        <v>0</v>
      </c>
      <c r="G312" t="str">
        <f t="shared" si="4"/>
        <v>Senior</v>
      </c>
    </row>
    <row r="313" spans="1:7" x14ac:dyDescent="0.25">
      <c r="A313">
        <v>312</v>
      </c>
      <c r="B313">
        <v>63</v>
      </c>
      <c r="C313" t="s">
        <v>10</v>
      </c>
      <c r="D313">
        <v>2763</v>
      </c>
      <c r="E313" t="s">
        <v>7</v>
      </c>
      <c r="F313">
        <v>0</v>
      </c>
      <c r="G313" t="str">
        <f t="shared" si="4"/>
        <v>Senior</v>
      </c>
    </row>
    <row r="314" spans="1:7" x14ac:dyDescent="0.25">
      <c r="A314">
        <v>313</v>
      </c>
      <c r="B314">
        <v>38</v>
      </c>
      <c r="C314" t="s">
        <v>10</v>
      </c>
      <c r="D314">
        <v>2821</v>
      </c>
      <c r="E314" t="s">
        <v>7</v>
      </c>
      <c r="F314">
        <v>0</v>
      </c>
      <c r="G314" t="str">
        <f t="shared" si="4"/>
        <v>Middle</v>
      </c>
    </row>
    <row r="315" spans="1:7" x14ac:dyDescent="0.25">
      <c r="A315">
        <v>314</v>
      </c>
      <c r="B315">
        <v>74</v>
      </c>
      <c r="C315" t="s">
        <v>6</v>
      </c>
      <c r="D315">
        <v>2471</v>
      </c>
      <c r="E315" t="s">
        <v>8</v>
      </c>
      <c r="F315">
        <v>6102</v>
      </c>
      <c r="G315" t="str">
        <f t="shared" si="4"/>
        <v>Senior</v>
      </c>
    </row>
    <row r="316" spans="1:7" x14ac:dyDescent="0.25">
      <c r="A316">
        <v>315</v>
      </c>
      <c r="B316">
        <v>32</v>
      </c>
      <c r="C316" t="s">
        <v>6</v>
      </c>
      <c r="D316">
        <v>1263</v>
      </c>
      <c r="E316" t="s">
        <v>7</v>
      </c>
      <c r="F316">
        <v>0</v>
      </c>
      <c r="G316" t="str">
        <f t="shared" si="4"/>
        <v>Middle</v>
      </c>
    </row>
    <row r="317" spans="1:7" x14ac:dyDescent="0.25">
      <c r="A317">
        <v>316</v>
      </c>
      <c r="B317">
        <v>76</v>
      </c>
      <c r="C317" t="s">
        <v>11</v>
      </c>
      <c r="D317">
        <v>1297</v>
      </c>
      <c r="E317" t="s">
        <v>7</v>
      </c>
      <c r="F317">
        <v>0</v>
      </c>
      <c r="G317" t="str">
        <f t="shared" si="4"/>
        <v>Senior</v>
      </c>
    </row>
    <row r="318" spans="1:7" x14ac:dyDescent="0.25">
      <c r="A318">
        <v>317</v>
      </c>
      <c r="B318">
        <v>22</v>
      </c>
      <c r="C318" t="s">
        <v>9</v>
      </c>
      <c r="D318">
        <v>2704</v>
      </c>
      <c r="E318" t="s">
        <v>7</v>
      </c>
      <c r="F318">
        <v>0</v>
      </c>
      <c r="G318" t="str">
        <f t="shared" si="4"/>
        <v>Young</v>
      </c>
    </row>
    <row r="319" spans="1:7" x14ac:dyDescent="0.25">
      <c r="A319">
        <v>318</v>
      </c>
      <c r="B319">
        <v>59</v>
      </c>
      <c r="C319" t="s">
        <v>12</v>
      </c>
      <c r="D319">
        <v>2858</v>
      </c>
      <c r="E319" t="s">
        <v>7</v>
      </c>
      <c r="F319">
        <v>0</v>
      </c>
      <c r="G319" t="str">
        <f t="shared" si="4"/>
        <v>Senior</v>
      </c>
    </row>
    <row r="320" spans="1:7" x14ac:dyDescent="0.25">
      <c r="A320">
        <v>319</v>
      </c>
      <c r="B320">
        <v>42</v>
      </c>
      <c r="C320" t="s">
        <v>6</v>
      </c>
      <c r="D320">
        <v>1550</v>
      </c>
      <c r="E320" t="s">
        <v>7</v>
      </c>
      <c r="F320">
        <v>0</v>
      </c>
      <c r="G320" t="str">
        <f t="shared" si="4"/>
        <v>Middle</v>
      </c>
    </row>
    <row r="321" spans="1:7" x14ac:dyDescent="0.25">
      <c r="A321">
        <v>320</v>
      </c>
      <c r="B321">
        <v>20</v>
      </c>
      <c r="C321" t="s">
        <v>10</v>
      </c>
      <c r="D321">
        <v>1277</v>
      </c>
      <c r="E321" t="s">
        <v>7</v>
      </c>
      <c r="F321">
        <v>0</v>
      </c>
      <c r="G321" t="str">
        <f t="shared" si="4"/>
        <v>Young</v>
      </c>
    </row>
    <row r="322" spans="1:7" x14ac:dyDescent="0.25">
      <c r="A322">
        <v>321</v>
      </c>
      <c r="B322">
        <v>23</v>
      </c>
      <c r="C322" t="s">
        <v>9</v>
      </c>
      <c r="D322">
        <v>1340</v>
      </c>
      <c r="E322" t="s">
        <v>8</v>
      </c>
      <c r="F322">
        <v>2584</v>
      </c>
      <c r="G322" t="str">
        <f t="shared" si="4"/>
        <v>Young</v>
      </c>
    </row>
    <row r="323" spans="1:7" x14ac:dyDescent="0.25">
      <c r="A323">
        <v>322</v>
      </c>
      <c r="B323">
        <v>38</v>
      </c>
      <c r="C323" t="s">
        <v>12</v>
      </c>
      <c r="D323">
        <v>851</v>
      </c>
      <c r="E323" t="s">
        <v>7</v>
      </c>
      <c r="F323">
        <v>0</v>
      </c>
      <c r="G323" t="str">
        <f t="shared" ref="G323:G386" si="5">IF(B323&lt;30,"Young",IF(B323&lt;50,"Middle","Senior"))</f>
        <v>Middle</v>
      </c>
    </row>
    <row r="324" spans="1:7" x14ac:dyDescent="0.25">
      <c r="A324">
        <v>323</v>
      </c>
      <c r="B324">
        <v>55</v>
      </c>
      <c r="C324" t="s">
        <v>6</v>
      </c>
      <c r="D324">
        <v>1541</v>
      </c>
      <c r="E324" t="s">
        <v>7</v>
      </c>
      <c r="F324">
        <v>0</v>
      </c>
      <c r="G324" t="str">
        <f t="shared" si="5"/>
        <v>Senior</v>
      </c>
    </row>
    <row r="325" spans="1:7" x14ac:dyDescent="0.25">
      <c r="A325">
        <v>324</v>
      </c>
      <c r="B325">
        <v>31</v>
      </c>
      <c r="C325" t="s">
        <v>11</v>
      </c>
      <c r="D325">
        <v>2558</v>
      </c>
      <c r="E325" t="s">
        <v>7</v>
      </c>
      <c r="F325">
        <v>0</v>
      </c>
      <c r="G325" t="str">
        <f t="shared" si="5"/>
        <v>Middle</v>
      </c>
    </row>
    <row r="326" spans="1:7" x14ac:dyDescent="0.25">
      <c r="A326">
        <v>325</v>
      </c>
      <c r="B326">
        <v>68</v>
      </c>
      <c r="C326" t="s">
        <v>12</v>
      </c>
      <c r="D326">
        <v>2861</v>
      </c>
      <c r="E326" t="s">
        <v>7</v>
      </c>
      <c r="F326">
        <v>0</v>
      </c>
      <c r="G326" t="str">
        <f t="shared" si="5"/>
        <v>Senior</v>
      </c>
    </row>
    <row r="327" spans="1:7" x14ac:dyDescent="0.25">
      <c r="A327">
        <v>326</v>
      </c>
      <c r="B327">
        <v>34</v>
      </c>
      <c r="C327" t="s">
        <v>9</v>
      </c>
      <c r="D327">
        <v>2581</v>
      </c>
      <c r="E327" t="s">
        <v>7</v>
      </c>
      <c r="F327">
        <v>0</v>
      </c>
      <c r="G327" t="str">
        <f t="shared" si="5"/>
        <v>Middle</v>
      </c>
    </row>
    <row r="328" spans="1:7" x14ac:dyDescent="0.25">
      <c r="A328">
        <v>327</v>
      </c>
      <c r="B328">
        <v>36</v>
      </c>
      <c r="C328" t="s">
        <v>11</v>
      </c>
      <c r="D328">
        <v>2622</v>
      </c>
      <c r="E328" t="s">
        <v>7</v>
      </c>
      <c r="F328">
        <v>0</v>
      </c>
      <c r="G328" t="str">
        <f t="shared" si="5"/>
        <v>Middle</v>
      </c>
    </row>
    <row r="329" spans="1:7" x14ac:dyDescent="0.25">
      <c r="A329">
        <v>328</v>
      </c>
      <c r="B329">
        <v>79</v>
      </c>
      <c r="C329" t="s">
        <v>9</v>
      </c>
      <c r="D329">
        <v>1596</v>
      </c>
      <c r="E329" t="s">
        <v>7</v>
      </c>
      <c r="F329">
        <v>0</v>
      </c>
      <c r="G329" t="str">
        <f t="shared" si="5"/>
        <v>Senior</v>
      </c>
    </row>
    <row r="330" spans="1:7" x14ac:dyDescent="0.25">
      <c r="A330">
        <v>329</v>
      </c>
      <c r="B330">
        <v>79</v>
      </c>
      <c r="C330" t="s">
        <v>6</v>
      </c>
      <c r="D330">
        <v>2542</v>
      </c>
      <c r="E330" t="s">
        <v>7</v>
      </c>
      <c r="F330">
        <v>0</v>
      </c>
      <c r="G330" t="str">
        <f t="shared" si="5"/>
        <v>Senior</v>
      </c>
    </row>
    <row r="331" spans="1:7" x14ac:dyDescent="0.25">
      <c r="A331">
        <v>330</v>
      </c>
      <c r="B331">
        <v>55</v>
      </c>
      <c r="C331" t="s">
        <v>10</v>
      </c>
      <c r="D331">
        <v>1678</v>
      </c>
      <c r="E331" t="s">
        <v>7</v>
      </c>
      <c r="F331">
        <v>0</v>
      </c>
      <c r="G331" t="str">
        <f t="shared" si="5"/>
        <v>Senior</v>
      </c>
    </row>
    <row r="332" spans="1:7" x14ac:dyDescent="0.25">
      <c r="A332">
        <v>331</v>
      </c>
      <c r="B332">
        <v>63</v>
      </c>
      <c r="C332" t="s">
        <v>9</v>
      </c>
      <c r="D332">
        <v>3000</v>
      </c>
      <c r="E332" t="s">
        <v>7</v>
      </c>
      <c r="F332">
        <v>0</v>
      </c>
      <c r="G332" t="str">
        <f t="shared" si="5"/>
        <v>Senior</v>
      </c>
    </row>
    <row r="333" spans="1:7" x14ac:dyDescent="0.25">
      <c r="A333">
        <v>332</v>
      </c>
      <c r="B333">
        <v>43</v>
      </c>
      <c r="C333" t="s">
        <v>12</v>
      </c>
      <c r="D333">
        <v>2000</v>
      </c>
      <c r="E333" t="s">
        <v>7</v>
      </c>
      <c r="F333">
        <v>0</v>
      </c>
      <c r="G333" t="str">
        <f t="shared" si="5"/>
        <v>Middle</v>
      </c>
    </row>
    <row r="334" spans="1:7" x14ac:dyDescent="0.25">
      <c r="A334">
        <v>333</v>
      </c>
      <c r="B334">
        <v>41</v>
      </c>
      <c r="C334" t="s">
        <v>10</v>
      </c>
      <c r="D334">
        <v>2330</v>
      </c>
      <c r="E334" t="s">
        <v>7</v>
      </c>
      <c r="F334">
        <v>0</v>
      </c>
      <c r="G334" t="str">
        <f t="shared" si="5"/>
        <v>Middle</v>
      </c>
    </row>
    <row r="335" spans="1:7" x14ac:dyDescent="0.25">
      <c r="A335">
        <v>334</v>
      </c>
      <c r="B335">
        <v>58</v>
      </c>
      <c r="C335" t="s">
        <v>6</v>
      </c>
      <c r="D335">
        <v>1639</v>
      </c>
      <c r="E335" t="s">
        <v>7</v>
      </c>
      <c r="F335">
        <v>0</v>
      </c>
      <c r="G335" t="str">
        <f t="shared" si="5"/>
        <v>Senior</v>
      </c>
    </row>
    <row r="336" spans="1:7" x14ac:dyDescent="0.25">
      <c r="A336">
        <v>335</v>
      </c>
      <c r="B336">
        <v>32</v>
      </c>
      <c r="C336" t="s">
        <v>12</v>
      </c>
      <c r="D336">
        <v>2899</v>
      </c>
      <c r="E336" t="s">
        <v>7</v>
      </c>
      <c r="F336">
        <v>0</v>
      </c>
      <c r="G336" t="str">
        <f t="shared" si="5"/>
        <v>Middle</v>
      </c>
    </row>
    <row r="337" spans="1:7" x14ac:dyDescent="0.25">
      <c r="A337">
        <v>336</v>
      </c>
      <c r="B337">
        <v>65</v>
      </c>
      <c r="C337" t="s">
        <v>9</v>
      </c>
      <c r="D337">
        <v>1275</v>
      </c>
      <c r="E337" t="s">
        <v>7</v>
      </c>
      <c r="F337">
        <v>0</v>
      </c>
      <c r="G337" t="str">
        <f t="shared" si="5"/>
        <v>Senior</v>
      </c>
    </row>
    <row r="338" spans="1:7" x14ac:dyDescent="0.25">
      <c r="A338">
        <v>337</v>
      </c>
      <c r="B338">
        <v>77</v>
      </c>
      <c r="C338" t="s">
        <v>12</v>
      </c>
      <c r="D338">
        <v>1553</v>
      </c>
      <c r="E338" t="s">
        <v>7</v>
      </c>
      <c r="F338">
        <v>0</v>
      </c>
      <c r="G338" t="str">
        <f t="shared" si="5"/>
        <v>Senior</v>
      </c>
    </row>
    <row r="339" spans="1:7" x14ac:dyDescent="0.25">
      <c r="A339">
        <v>338</v>
      </c>
      <c r="B339">
        <v>63</v>
      </c>
      <c r="C339" t="s">
        <v>12</v>
      </c>
      <c r="D339">
        <v>2388</v>
      </c>
      <c r="E339" t="s">
        <v>8</v>
      </c>
      <c r="F339">
        <v>10967</v>
      </c>
      <c r="G339" t="str">
        <f t="shared" si="5"/>
        <v>Senior</v>
      </c>
    </row>
    <row r="340" spans="1:7" x14ac:dyDescent="0.25">
      <c r="A340">
        <v>339</v>
      </c>
      <c r="B340">
        <v>34</v>
      </c>
      <c r="C340" t="s">
        <v>11</v>
      </c>
      <c r="D340">
        <v>2123</v>
      </c>
      <c r="E340" t="s">
        <v>7</v>
      </c>
      <c r="F340">
        <v>0</v>
      </c>
      <c r="G340" t="str">
        <f t="shared" si="5"/>
        <v>Middle</v>
      </c>
    </row>
    <row r="341" spans="1:7" x14ac:dyDescent="0.25">
      <c r="A341">
        <v>340</v>
      </c>
      <c r="B341">
        <v>20</v>
      </c>
      <c r="C341" t="s">
        <v>10</v>
      </c>
      <c r="D341">
        <v>2323</v>
      </c>
      <c r="E341" t="s">
        <v>7</v>
      </c>
      <c r="F341">
        <v>0</v>
      </c>
      <c r="G341" t="str">
        <f t="shared" si="5"/>
        <v>Young</v>
      </c>
    </row>
    <row r="342" spans="1:7" x14ac:dyDescent="0.25">
      <c r="A342">
        <v>341</v>
      </c>
      <c r="B342">
        <v>27</v>
      </c>
      <c r="C342" t="s">
        <v>11</v>
      </c>
      <c r="D342">
        <v>1051</v>
      </c>
      <c r="E342" t="s">
        <v>7</v>
      </c>
      <c r="F342">
        <v>0</v>
      </c>
      <c r="G342" t="str">
        <f t="shared" si="5"/>
        <v>Young</v>
      </c>
    </row>
    <row r="343" spans="1:7" x14ac:dyDescent="0.25">
      <c r="A343">
        <v>342</v>
      </c>
      <c r="B343">
        <v>61</v>
      </c>
      <c r="C343" t="s">
        <v>6</v>
      </c>
      <c r="D343">
        <v>826</v>
      </c>
      <c r="E343" t="s">
        <v>7</v>
      </c>
      <c r="F343">
        <v>0</v>
      </c>
      <c r="G343" t="str">
        <f t="shared" si="5"/>
        <v>Senior</v>
      </c>
    </row>
    <row r="344" spans="1:7" x14ac:dyDescent="0.25">
      <c r="A344">
        <v>343</v>
      </c>
      <c r="B344">
        <v>40</v>
      </c>
      <c r="C344" t="s">
        <v>11</v>
      </c>
      <c r="D344">
        <v>981</v>
      </c>
      <c r="E344" t="s">
        <v>7</v>
      </c>
      <c r="F344">
        <v>0</v>
      </c>
      <c r="G344" t="str">
        <f t="shared" si="5"/>
        <v>Middle</v>
      </c>
    </row>
    <row r="345" spans="1:7" x14ac:dyDescent="0.25">
      <c r="A345">
        <v>344</v>
      </c>
      <c r="B345">
        <v>62</v>
      </c>
      <c r="C345" t="s">
        <v>6</v>
      </c>
      <c r="D345">
        <v>2595</v>
      </c>
      <c r="E345" t="s">
        <v>7</v>
      </c>
      <c r="F345">
        <v>0</v>
      </c>
      <c r="G345" t="str">
        <f t="shared" si="5"/>
        <v>Senior</v>
      </c>
    </row>
    <row r="346" spans="1:7" x14ac:dyDescent="0.25">
      <c r="A346">
        <v>345</v>
      </c>
      <c r="B346">
        <v>30</v>
      </c>
      <c r="C346" t="s">
        <v>11</v>
      </c>
      <c r="D346">
        <v>2778</v>
      </c>
      <c r="E346" t="s">
        <v>7</v>
      </c>
      <c r="F346">
        <v>0</v>
      </c>
      <c r="G346" t="str">
        <f t="shared" si="5"/>
        <v>Middle</v>
      </c>
    </row>
    <row r="347" spans="1:7" x14ac:dyDescent="0.25">
      <c r="A347">
        <v>346</v>
      </c>
      <c r="B347">
        <v>56</v>
      </c>
      <c r="C347" t="s">
        <v>11</v>
      </c>
      <c r="D347">
        <v>2929</v>
      </c>
      <c r="E347" t="s">
        <v>7</v>
      </c>
      <c r="F347">
        <v>0</v>
      </c>
      <c r="G347" t="str">
        <f t="shared" si="5"/>
        <v>Senior</v>
      </c>
    </row>
    <row r="348" spans="1:7" x14ac:dyDescent="0.25">
      <c r="A348">
        <v>347</v>
      </c>
      <c r="B348">
        <v>68</v>
      </c>
      <c r="C348" t="s">
        <v>12</v>
      </c>
      <c r="D348">
        <v>2545</v>
      </c>
      <c r="E348" t="s">
        <v>7</v>
      </c>
      <c r="F348">
        <v>0</v>
      </c>
      <c r="G348" t="str">
        <f t="shared" si="5"/>
        <v>Senior</v>
      </c>
    </row>
    <row r="349" spans="1:7" x14ac:dyDescent="0.25">
      <c r="A349">
        <v>348</v>
      </c>
      <c r="B349">
        <v>74</v>
      </c>
      <c r="C349" t="s">
        <v>9</v>
      </c>
      <c r="D349">
        <v>2919</v>
      </c>
      <c r="E349" t="s">
        <v>7</v>
      </c>
      <c r="F349">
        <v>0</v>
      </c>
      <c r="G349" t="str">
        <f t="shared" si="5"/>
        <v>Senior</v>
      </c>
    </row>
    <row r="350" spans="1:7" x14ac:dyDescent="0.25">
      <c r="A350">
        <v>349</v>
      </c>
      <c r="B350">
        <v>33</v>
      </c>
      <c r="C350" t="s">
        <v>9</v>
      </c>
      <c r="D350">
        <v>1753</v>
      </c>
      <c r="E350" t="s">
        <v>8</v>
      </c>
      <c r="F350">
        <v>14806</v>
      </c>
      <c r="G350" t="str">
        <f t="shared" si="5"/>
        <v>Middle</v>
      </c>
    </row>
    <row r="351" spans="1:7" x14ac:dyDescent="0.25">
      <c r="A351">
        <v>350</v>
      </c>
      <c r="B351">
        <v>67</v>
      </c>
      <c r="C351" t="s">
        <v>6</v>
      </c>
      <c r="D351">
        <v>1919</v>
      </c>
      <c r="E351" t="s">
        <v>7</v>
      </c>
      <c r="F351">
        <v>0</v>
      </c>
      <c r="G351" t="str">
        <f t="shared" si="5"/>
        <v>Senior</v>
      </c>
    </row>
    <row r="352" spans="1:7" x14ac:dyDescent="0.25">
      <c r="A352">
        <v>351</v>
      </c>
      <c r="B352">
        <v>74</v>
      </c>
      <c r="C352" t="s">
        <v>11</v>
      </c>
      <c r="D352">
        <v>1399</v>
      </c>
      <c r="E352" t="s">
        <v>7</v>
      </c>
      <c r="F352">
        <v>0</v>
      </c>
      <c r="G352" t="str">
        <f t="shared" si="5"/>
        <v>Senior</v>
      </c>
    </row>
    <row r="353" spans="1:7" x14ac:dyDescent="0.25">
      <c r="A353">
        <v>352</v>
      </c>
      <c r="B353">
        <v>64</v>
      </c>
      <c r="C353" t="s">
        <v>12</v>
      </c>
      <c r="D353">
        <v>1993</v>
      </c>
      <c r="E353" t="s">
        <v>7</v>
      </c>
      <c r="F353">
        <v>0</v>
      </c>
      <c r="G353" t="str">
        <f t="shared" si="5"/>
        <v>Senior</v>
      </c>
    </row>
    <row r="354" spans="1:7" x14ac:dyDescent="0.25">
      <c r="A354">
        <v>353</v>
      </c>
      <c r="B354">
        <v>35</v>
      </c>
      <c r="C354" t="s">
        <v>11</v>
      </c>
      <c r="D354">
        <v>1451</v>
      </c>
      <c r="E354" t="s">
        <v>7</v>
      </c>
      <c r="F354">
        <v>0</v>
      </c>
      <c r="G354" t="str">
        <f t="shared" si="5"/>
        <v>Middle</v>
      </c>
    </row>
    <row r="355" spans="1:7" x14ac:dyDescent="0.25">
      <c r="A355">
        <v>354</v>
      </c>
      <c r="B355">
        <v>70</v>
      </c>
      <c r="C355" t="s">
        <v>11</v>
      </c>
      <c r="D355">
        <v>1490</v>
      </c>
      <c r="E355" t="s">
        <v>8</v>
      </c>
      <c r="F355">
        <v>9310</v>
      </c>
      <c r="G355" t="str">
        <f t="shared" si="5"/>
        <v>Senior</v>
      </c>
    </row>
    <row r="356" spans="1:7" x14ac:dyDescent="0.25">
      <c r="A356">
        <v>355</v>
      </c>
      <c r="B356">
        <v>36</v>
      </c>
      <c r="C356" t="s">
        <v>10</v>
      </c>
      <c r="D356">
        <v>2939</v>
      </c>
      <c r="E356" t="s">
        <v>7</v>
      </c>
      <c r="F356">
        <v>0</v>
      </c>
      <c r="G356" t="str">
        <f t="shared" si="5"/>
        <v>Middle</v>
      </c>
    </row>
    <row r="357" spans="1:7" x14ac:dyDescent="0.25">
      <c r="A357">
        <v>356</v>
      </c>
      <c r="B357">
        <v>28</v>
      </c>
      <c r="C357" t="s">
        <v>10</v>
      </c>
      <c r="D357">
        <v>2350</v>
      </c>
      <c r="E357" t="s">
        <v>7</v>
      </c>
      <c r="F357">
        <v>0</v>
      </c>
      <c r="G357" t="str">
        <f t="shared" si="5"/>
        <v>Young</v>
      </c>
    </row>
    <row r="358" spans="1:7" x14ac:dyDescent="0.25">
      <c r="A358">
        <v>357</v>
      </c>
      <c r="B358">
        <v>52</v>
      </c>
      <c r="C358" t="s">
        <v>11</v>
      </c>
      <c r="D358">
        <v>1350</v>
      </c>
      <c r="E358" t="s">
        <v>7</v>
      </c>
      <c r="F358">
        <v>0</v>
      </c>
      <c r="G358" t="str">
        <f t="shared" si="5"/>
        <v>Senior</v>
      </c>
    </row>
    <row r="359" spans="1:7" x14ac:dyDescent="0.25">
      <c r="A359">
        <v>358</v>
      </c>
      <c r="B359">
        <v>25</v>
      </c>
      <c r="C359" t="s">
        <v>10</v>
      </c>
      <c r="D359">
        <v>1104</v>
      </c>
      <c r="E359" t="s">
        <v>7</v>
      </c>
      <c r="F359">
        <v>0</v>
      </c>
      <c r="G359" t="str">
        <f t="shared" si="5"/>
        <v>Young</v>
      </c>
    </row>
    <row r="360" spans="1:7" x14ac:dyDescent="0.25">
      <c r="A360">
        <v>359</v>
      </c>
      <c r="B360">
        <v>20</v>
      </c>
      <c r="C360" t="s">
        <v>12</v>
      </c>
      <c r="D360">
        <v>905</v>
      </c>
      <c r="E360" t="s">
        <v>7</v>
      </c>
      <c r="F360">
        <v>0</v>
      </c>
      <c r="G360" t="str">
        <f t="shared" si="5"/>
        <v>Young</v>
      </c>
    </row>
    <row r="361" spans="1:7" x14ac:dyDescent="0.25">
      <c r="A361">
        <v>360</v>
      </c>
      <c r="B361">
        <v>31</v>
      </c>
      <c r="C361" t="s">
        <v>10</v>
      </c>
      <c r="D361">
        <v>1178</v>
      </c>
      <c r="E361" t="s">
        <v>7</v>
      </c>
      <c r="F361">
        <v>0</v>
      </c>
      <c r="G361" t="str">
        <f t="shared" si="5"/>
        <v>Middle</v>
      </c>
    </row>
    <row r="362" spans="1:7" x14ac:dyDescent="0.25">
      <c r="A362">
        <v>361</v>
      </c>
      <c r="B362">
        <v>47</v>
      </c>
      <c r="C362" t="s">
        <v>12</v>
      </c>
      <c r="D362">
        <v>1750</v>
      </c>
      <c r="E362" t="s">
        <v>7</v>
      </c>
      <c r="F362">
        <v>0</v>
      </c>
      <c r="G362" t="str">
        <f t="shared" si="5"/>
        <v>Middle</v>
      </c>
    </row>
    <row r="363" spans="1:7" x14ac:dyDescent="0.25">
      <c r="A363">
        <v>362</v>
      </c>
      <c r="B363">
        <v>25</v>
      </c>
      <c r="C363" t="s">
        <v>10</v>
      </c>
      <c r="D363">
        <v>2251</v>
      </c>
      <c r="E363" t="s">
        <v>7</v>
      </c>
      <c r="F363">
        <v>0</v>
      </c>
      <c r="G363" t="str">
        <f t="shared" si="5"/>
        <v>Young</v>
      </c>
    </row>
    <row r="364" spans="1:7" x14ac:dyDescent="0.25">
      <c r="A364">
        <v>363</v>
      </c>
      <c r="B364">
        <v>21</v>
      </c>
      <c r="C364" t="s">
        <v>11</v>
      </c>
      <c r="D364">
        <v>974</v>
      </c>
      <c r="E364" t="s">
        <v>7</v>
      </c>
      <c r="F364">
        <v>0</v>
      </c>
      <c r="G364" t="str">
        <f t="shared" si="5"/>
        <v>Young</v>
      </c>
    </row>
    <row r="365" spans="1:7" x14ac:dyDescent="0.25">
      <c r="A365">
        <v>364</v>
      </c>
      <c r="B365">
        <v>47</v>
      </c>
      <c r="C365" t="s">
        <v>10</v>
      </c>
      <c r="D365">
        <v>1361</v>
      </c>
      <c r="E365" t="s">
        <v>7</v>
      </c>
      <c r="F365">
        <v>0</v>
      </c>
      <c r="G365" t="str">
        <f t="shared" si="5"/>
        <v>Middle</v>
      </c>
    </row>
    <row r="366" spans="1:7" x14ac:dyDescent="0.25">
      <c r="A366">
        <v>365</v>
      </c>
      <c r="B366">
        <v>65</v>
      </c>
      <c r="C366" t="s">
        <v>12</v>
      </c>
      <c r="D366">
        <v>2218</v>
      </c>
      <c r="E366" t="s">
        <v>8</v>
      </c>
      <c r="F366">
        <v>19880</v>
      </c>
      <c r="G366" t="str">
        <f t="shared" si="5"/>
        <v>Senior</v>
      </c>
    </row>
    <row r="367" spans="1:7" x14ac:dyDescent="0.25">
      <c r="A367">
        <v>366</v>
      </c>
      <c r="B367">
        <v>34</v>
      </c>
      <c r="C367" t="s">
        <v>12</v>
      </c>
      <c r="D367">
        <v>2849</v>
      </c>
      <c r="E367" t="s">
        <v>7</v>
      </c>
      <c r="F367">
        <v>0</v>
      </c>
      <c r="G367" t="str">
        <f t="shared" si="5"/>
        <v>Middle</v>
      </c>
    </row>
    <row r="368" spans="1:7" x14ac:dyDescent="0.25">
      <c r="A368">
        <v>367</v>
      </c>
      <c r="B368">
        <v>34</v>
      </c>
      <c r="C368" t="s">
        <v>10</v>
      </c>
      <c r="D368">
        <v>986</v>
      </c>
      <c r="E368" t="s">
        <v>7</v>
      </c>
      <c r="F368">
        <v>0</v>
      </c>
      <c r="G368" t="str">
        <f t="shared" si="5"/>
        <v>Middle</v>
      </c>
    </row>
    <row r="369" spans="1:7" x14ac:dyDescent="0.25">
      <c r="A369">
        <v>368</v>
      </c>
      <c r="B369">
        <v>38</v>
      </c>
      <c r="C369" t="s">
        <v>6</v>
      </c>
      <c r="D369">
        <v>2996</v>
      </c>
      <c r="E369" t="s">
        <v>7</v>
      </c>
      <c r="F369">
        <v>0</v>
      </c>
      <c r="G369" t="str">
        <f t="shared" si="5"/>
        <v>Middle</v>
      </c>
    </row>
    <row r="370" spans="1:7" x14ac:dyDescent="0.25">
      <c r="A370">
        <v>369</v>
      </c>
      <c r="B370">
        <v>74</v>
      </c>
      <c r="C370" t="s">
        <v>10</v>
      </c>
      <c r="D370">
        <v>2300</v>
      </c>
      <c r="E370" t="s">
        <v>8</v>
      </c>
      <c r="F370">
        <v>6129</v>
      </c>
      <c r="G370" t="str">
        <f t="shared" si="5"/>
        <v>Senior</v>
      </c>
    </row>
    <row r="371" spans="1:7" x14ac:dyDescent="0.25">
      <c r="A371">
        <v>370</v>
      </c>
      <c r="B371">
        <v>77</v>
      </c>
      <c r="C371" t="s">
        <v>6</v>
      </c>
      <c r="D371">
        <v>2478</v>
      </c>
      <c r="E371" t="s">
        <v>7</v>
      </c>
      <c r="F371">
        <v>0</v>
      </c>
      <c r="G371" t="str">
        <f t="shared" si="5"/>
        <v>Senior</v>
      </c>
    </row>
    <row r="372" spans="1:7" x14ac:dyDescent="0.25">
      <c r="A372">
        <v>371</v>
      </c>
      <c r="B372">
        <v>20</v>
      </c>
      <c r="C372" t="s">
        <v>10</v>
      </c>
      <c r="D372">
        <v>1341</v>
      </c>
      <c r="E372" t="s">
        <v>7</v>
      </c>
      <c r="F372">
        <v>0</v>
      </c>
      <c r="G372" t="str">
        <f t="shared" si="5"/>
        <v>Young</v>
      </c>
    </row>
    <row r="373" spans="1:7" x14ac:dyDescent="0.25">
      <c r="A373">
        <v>372</v>
      </c>
      <c r="B373">
        <v>75</v>
      </c>
      <c r="C373" t="s">
        <v>11</v>
      </c>
      <c r="D373">
        <v>2967</v>
      </c>
      <c r="E373" t="s">
        <v>8</v>
      </c>
      <c r="F373">
        <v>17723</v>
      </c>
      <c r="G373" t="str">
        <f t="shared" si="5"/>
        <v>Senior</v>
      </c>
    </row>
    <row r="374" spans="1:7" x14ac:dyDescent="0.25">
      <c r="A374">
        <v>373</v>
      </c>
      <c r="B374">
        <v>35</v>
      </c>
      <c r="C374" t="s">
        <v>6</v>
      </c>
      <c r="D374">
        <v>1842</v>
      </c>
      <c r="E374" t="s">
        <v>7</v>
      </c>
      <c r="F374">
        <v>0</v>
      </c>
      <c r="G374" t="str">
        <f t="shared" si="5"/>
        <v>Middle</v>
      </c>
    </row>
    <row r="375" spans="1:7" x14ac:dyDescent="0.25">
      <c r="A375">
        <v>374</v>
      </c>
      <c r="B375">
        <v>25</v>
      </c>
      <c r="C375" t="s">
        <v>11</v>
      </c>
      <c r="D375">
        <v>874</v>
      </c>
      <c r="E375" t="s">
        <v>7</v>
      </c>
      <c r="F375">
        <v>0</v>
      </c>
      <c r="G375" t="str">
        <f t="shared" si="5"/>
        <v>Young</v>
      </c>
    </row>
    <row r="376" spans="1:7" x14ac:dyDescent="0.25">
      <c r="A376">
        <v>375</v>
      </c>
      <c r="B376">
        <v>24</v>
      </c>
      <c r="C376" t="s">
        <v>11</v>
      </c>
      <c r="D376">
        <v>1782</v>
      </c>
      <c r="E376" t="s">
        <v>8</v>
      </c>
      <c r="F376">
        <v>2077</v>
      </c>
      <c r="G376" t="str">
        <f t="shared" si="5"/>
        <v>Young</v>
      </c>
    </row>
    <row r="377" spans="1:7" x14ac:dyDescent="0.25">
      <c r="A377">
        <v>376</v>
      </c>
      <c r="B377">
        <v>27</v>
      </c>
      <c r="C377" t="s">
        <v>6</v>
      </c>
      <c r="D377">
        <v>2790</v>
      </c>
      <c r="E377" t="s">
        <v>7</v>
      </c>
      <c r="F377">
        <v>0</v>
      </c>
      <c r="G377" t="str">
        <f t="shared" si="5"/>
        <v>Young</v>
      </c>
    </row>
    <row r="378" spans="1:7" x14ac:dyDescent="0.25">
      <c r="A378">
        <v>377</v>
      </c>
      <c r="B378">
        <v>44</v>
      </c>
      <c r="C378" t="s">
        <v>10</v>
      </c>
      <c r="D378">
        <v>1551</v>
      </c>
      <c r="E378" t="s">
        <v>7</v>
      </c>
      <c r="F378">
        <v>0</v>
      </c>
      <c r="G378" t="str">
        <f t="shared" si="5"/>
        <v>Middle</v>
      </c>
    </row>
    <row r="379" spans="1:7" x14ac:dyDescent="0.25">
      <c r="A379">
        <v>378</v>
      </c>
      <c r="B379">
        <v>48</v>
      </c>
      <c r="C379" t="s">
        <v>11</v>
      </c>
      <c r="D379">
        <v>2045</v>
      </c>
      <c r="E379" t="s">
        <v>7</v>
      </c>
      <c r="F379">
        <v>0</v>
      </c>
      <c r="G379" t="str">
        <f t="shared" si="5"/>
        <v>Middle</v>
      </c>
    </row>
    <row r="380" spans="1:7" x14ac:dyDescent="0.25">
      <c r="A380">
        <v>379</v>
      </c>
      <c r="B380">
        <v>52</v>
      </c>
      <c r="C380" t="s">
        <v>10</v>
      </c>
      <c r="D380">
        <v>1701</v>
      </c>
      <c r="E380" t="s">
        <v>7</v>
      </c>
      <c r="F380">
        <v>0</v>
      </c>
      <c r="G380" t="str">
        <f t="shared" si="5"/>
        <v>Senior</v>
      </c>
    </row>
    <row r="381" spans="1:7" x14ac:dyDescent="0.25">
      <c r="A381">
        <v>380</v>
      </c>
      <c r="B381">
        <v>39</v>
      </c>
      <c r="C381" t="s">
        <v>12</v>
      </c>
      <c r="D381">
        <v>2567</v>
      </c>
      <c r="E381" t="s">
        <v>7</v>
      </c>
      <c r="F381">
        <v>0</v>
      </c>
      <c r="G381" t="str">
        <f t="shared" si="5"/>
        <v>Middle</v>
      </c>
    </row>
    <row r="382" spans="1:7" x14ac:dyDescent="0.25">
      <c r="A382">
        <v>381</v>
      </c>
      <c r="B382">
        <v>46</v>
      </c>
      <c r="C382" t="s">
        <v>11</v>
      </c>
      <c r="D382">
        <v>1837</v>
      </c>
      <c r="E382" t="s">
        <v>7</v>
      </c>
      <c r="F382">
        <v>0</v>
      </c>
      <c r="G382" t="str">
        <f t="shared" si="5"/>
        <v>Middle</v>
      </c>
    </row>
    <row r="383" spans="1:7" x14ac:dyDescent="0.25">
      <c r="A383">
        <v>382</v>
      </c>
      <c r="B383">
        <v>54</v>
      </c>
      <c r="C383" t="s">
        <v>12</v>
      </c>
      <c r="D383">
        <v>2179</v>
      </c>
      <c r="E383" t="s">
        <v>7</v>
      </c>
      <c r="F383">
        <v>0</v>
      </c>
      <c r="G383" t="str">
        <f t="shared" si="5"/>
        <v>Senior</v>
      </c>
    </row>
    <row r="384" spans="1:7" x14ac:dyDescent="0.25">
      <c r="A384">
        <v>383</v>
      </c>
      <c r="B384">
        <v>58</v>
      </c>
      <c r="C384" t="s">
        <v>6</v>
      </c>
      <c r="D384">
        <v>2246</v>
      </c>
      <c r="E384" t="s">
        <v>7</v>
      </c>
      <c r="F384">
        <v>0</v>
      </c>
      <c r="G384" t="str">
        <f t="shared" si="5"/>
        <v>Senior</v>
      </c>
    </row>
    <row r="385" spans="1:7" x14ac:dyDescent="0.25">
      <c r="A385">
        <v>384</v>
      </c>
      <c r="B385">
        <v>51</v>
      </c>
      <c r="C385" t="s">
        <v>11</v>
      </c>
      <c r="D385">
        <v>1330</v>
      </c>
      <c r="E385" t="s">
        <v>7</v>
      </c>
      <c r="F385">
        <v>0</v>
      </c>
      <c r="G385" t="str">
        <f t="shared" si="5"/>
        <v>Senior</v>
      </c>
    </row>
    <row r="386" spans="1:7" x14ac:dyDescent="0.25">
      <c r="A386">
        <v>385</v>
      </c>
      <c r="B386">
        <v>55</v>
      </c>
      <c r="C386" t="s">
        <v>12</v>
      </c>
      <c r="D386">
        <v>2649</v>
      </c>
      <c r="E386" t="s">
        <v>8</v>
      </c>
      <c r="F386">
        <v>2134</v>
      </c>
      <c r="G386" t="str">
        <f t="shared" si="5"/>
        <v>Senior</v>
      </c>
    </row>
    <row r="387" spans="1:7" x14ac:dyDescent="0.25">
      <c r="A387">
        <v>386</v>
      </c>
      <c r="B387">
        <v>57</v>
      </c>
      <c r="C387" t="s">
        <v>10</v>
      </c>
      <c r="D387">
        <v>2562</v>
      </c>
      <c r="E387" t="s">
        <v>7</v>
      </c>
      <c r="F387">
        <v>0</v>
      </c>
      <c r="G387" t="str">
        <f t="shared" ref="G387:G450" si="6">IF(B387&lt;30,"Young",IF(B387&lt;50,"Middle","Senior"))</f>
        <v>Senior</v>
      </c>
    </row>
    <row r="388" spans="1:7" x14ac:dyDescent="0.25">
      <c r="A388">
        <v>387</v>
      </c>
      <c r="B388">
        <v>35</v>
      </c>
      <c r="C388" t="s">
        <v>12</v>
      </c>
      <c r="D388">
        <v>1471</v>
      </c>
      <c r="E388" t="s">
        <v>7</v>
      </c>
      <c r="F388">
        <v>0</v>
      </c>
      <c r="G388" t="str">
        <f t="shared" si="6"/>
        <v>Middle</v>
      </c>
    </row>
    <row r="389" spans="1:7" x14ac:dyDescent="0.25">
      <c r="A389">
        <v>388</v>
      </c>
      <c r="B389">
        <v>66</v>
      </c>
      <c r="C389" t="s">
        <v>12</v>
      </c>
      <c r="D389">
        <v>2419</v>
      </c>
      <c r="E389" t="s">
        <v>7</v>
      </c>
      <c r="F389">
        <v>0</v>
      </c>
      <c r="G389" t="str">
        <f t="shared" si="6"/>
        <v>Senior</v>
      </c>
    </row>
    <row r="390" spans="1:7" x14ac:dyDescent="0.25">
      <c r="A390">
        <v>389</v>
      </c>
      <c r="B390">
        <v>25</v>
      </c>
      <c r="C390" t="s">
        <v>10</v>
      </c>
      <c r="D390">
        <v>2815</v>
      </c>
      <c r="E390" t="s">
        <v>7</v>
      </c>
      <c r="F390">
        <v>0</v>
      </c>
      <c r="G390" t="str">
        <f t="shared" si="6"/>
        <v>Young</v>
      </c>
    </row>
    <row r="391" spans="1:7" x14ac:dyDescent="0.25">
      <c r="A391">
        <v>390</v>
      </c>
      <c r="B391">
        <v>28</v>
      </c>
      <c r="C391" t="s">
        <v>11</v>
      </c>
      <c r="D391">
        <v>1540</v>
      </c>
      <c r="E391" t="s">
        <v>7</v>
      </c>
      <c r="F391">
        <v>0</v>
      </c>
      <c r="G391" t="str">
        <f t="shared" si="6"/>
        <v>Young</v>
      </c>
    </row>
    <row r="392" spans="1:7" x14ac:dyDescent="0.25">
      <c r="A392">
        <v>391</v>
      </c>
      <c r="B392">
        <v>23</v>
      </c>
      <c r="C392" t="s">
        <v>9</v>
      </c>
      <c r="D392">
        <v>2473</v>
      </c>
      <c r="E392" t="s">
        <v>8</v>
      </c>
      <c r="F392">
        <v>19942</v>
      </c>
      <c r="G392" t="str">
        <f t="shared" si="6"/>
        <v>Young</v>
      </c>
    </row>
    <row r="393" spans="1:7" x14ac:dyDescent="0.25">
      <c r="A393">
        <v>392</v>
      </c>
      <c r="B393">
        <v>31</v>
      </c>
      <c r="C393" t="s">
        <v>12</v>
      </c>
      <c r="D393">
        <v>834</v>
      </c>
      <c r="E393" t="s">
        <v>8</v>
      </c>
      <c r="F393">
        <v>10626</v>
      </c>
      <c r="G393" t="str">
        <f t="shared" si="6"/>
        <v>Middle</v>
      </c>
    </row>
    <row r="394" spans="1:7" x14ac:dyDescent="0.25">
      <c r="A394">
        <v>393</v>
      </c>
      <c r="B394">
        <v>73</v>
      </c>
      <c r="C394" t="s">
        <v>6</v>
      </c>
      <c r="D394">
        <v>1928</v>
      </c>
      <c r="E394" t="s">
        <v>7</v>
      </c>
      <c r="F394">
        <v>0</v>
      </c>
      <c r="G394" t="str">
        <f t="shared" si="6"/>
        <v>Senior</v>
      </c>
    </row>
    <row r="395" spans="1:7" x14ac:dyDescent="0.25">
      <c r="A395">
        <v>394</v>
      </c>
      <c r="B395">
        <v>43</v>
      </c>
      <c r="C395" t="s">
        <v>12</v>
      </c>
      <c r="D395">
        <v>2789</v>
      </c>
      <c r="E395" t="s">
        <v>7</v>
      </c>
      <c r="F395">
        <v>0</v>
      </c>
      <c r="G395" t="str">
        <f t="shared" si="6"/>
        <v>Middle</v>
      </c>
    </row>
    <row r="396" spans="1:7" x14ac:dyDescent="0.25">
      <c r="A396">
        <v>395</v>
      </c>
      <c r="B396">
        <v>41</v>
      </c>
      <c r="C396" t="s">
        <v>12</v>
      </c>
      <c r="D396">
        <v>1345</v>
      </c>
      <c r="E396" t="s">
        <v>8</v>
      </c>
      <c r="F396">
        <v>19331</v>
      </c>
      <c r="G396" t="str">
        <f t="shared" si="6"/>
        <v>Middle</v>
      </c>
    </row>
    <row r="397" spans="1:7" x14ac:dyDescent="0.25">
      <c r="A397">
        <v>396</v>
      </c>
      <c r="B397">
        <v>39</v>
      </c>
      <c r="C397" t="s">
        <v>11</v>
      </c>
      <c r="D397">
        <v>833</v>
      </c>
      <c r="E397" t="s">
        <v>8</v>
      </c>
      <c r="F397">
        <v>16769</v>
      </c>
      <c r="G397" t="str">
        <f t="shared" si="6"/>
        <v>Middle</v>
      </c>
    </row>
    <row r="398" spans="1:7" x14ac:dyDescent="0.25">
      <c r="A398">
        <v>397</v>
      </c>
      <c r="B398">
        <v>65</v>
      </c>
      <c r="C398" t="s">
        <v>6</v>
      </c>
      <c r="D398">
        <v>1776</v>
      </c>
      <c r="E398" t="s">
        <v>7</v>
      </c>
      <c r="F398">
        <v>0</v>
      </c>
      <c r="G398" t="str">
        <f t="shared" si="6"/>
        <v>Senior</v>
      </c>
    </row>
    <row r="399" spans="1:7" x14ac:dyDescent="0.25">
      <c r="A399">
        <v>398</v>
      </c>
      <c r="B399">
        <v>44</v>
      </c>
      <c r="C399" t="s">
        <v>12</v>
      </c>
      <c r="D399">
        <v>2161</v>
      </c>
      <c r="E399" t="s">
        <v>7</v>
      </c>
      <c r="F399">
        <v>0</v>
      </c>
      <c r="G399" t="str">
        <f t="shared" si="6"/>
        <v>Middle</v>
      </c>
    </row>
    <row r="400" spans="1:7" x14ac:dyDescent="0.25">
      <c r="A400">
        <v>399</v>
      </c>
      <c r="B400">
        <v>37</v>
      </c>
      <c r="C400" t="s">
        <v>10</v>
      </c>
      <c r="D400">
        <v>2468</v>
      </c>
      <c r="E400" t="s">
        <v>8</v>
      </c>
      <c r="F400">
        <v>15890</v>
      </c>
      <c r="G400" t="str">
        <f t="shared" si="6"/>
        <v>Middle</v>
      </c>
    </row>
    <row r="401" spans="1:7" x14ac:dyDescent="0.25">
      <c r="A401">
        <v>400</v>
      </c>
      <c r="B401">
        <v>53</v>
      </c>
      <c r="C401" t="s">
        <v>10</v>
      </c>
      <c r="D401">
        <v>1423</v>
      </c>
      <c r="E401" t="s">
        <v>7</v>
      </c>
      <c r="F401">
        <v>0</v>
      </c>
      <c r="G401" t="str">
        <f t="shared" si="6"/>
        <v>Senior</v>
      </c>
    </row>
    <row r="402" spans="1:7" x14ac:dyDescent="0.25">
      <c r="A402">
        <v>401</v>
      </c>
      <c r="B402">
        <v>37</v>
      </c>
      <c r="C402" t="s">
        <v>10</v>
      </c>
      <c r="D402">
        <v>1069</v>
      </c>
      <c r="E402" t="s">
        <v>8</v>
      </c>
      <c r="F402">
        <v>19717</v>
      </c>
      <c r="G402" t="str">
        <f t="shared" si="6"/>
        <v>Middle</v>
      </c>
    </row>
    <row r="403" spans="1:7" x14ac:dyDescent="0.25">
      <c r="A403">
        <v>402</v>
      </c>
      <c r="B403">
        <v>59</v>
      </c>
      <c r="C403" t="s">
        <v>6</v>
      </c>
      <c r="D403">
        <v>1420</v>
      </c>
      <c r="E403" t="s">
        <v>7</v>
      </c>
      <c r="F403">
        <v>0</v>
      </c>
      <c r="G403" t="str">
        <f t="shared" si="6"/>
        <v>Senior</v>
      </c>
    </row>
    <row r="404" spans="1:7" x14ac:dyDescent="0.25">
      <c r="A404">
        <v>403</v>
      </c>
      <c r="B404">
        <v>79</v>
      </c>
      <c r="C404" t="s">
        <v>10</v>
      </c>
      <c r="D404">
        <v>1933</v>
      </c>
      <c r="E404" t="s">
        <v>7</v>
      </c>
      <c r="F404">
        <v>0</v>
      </c>
      <c r="G404" t="str">
        <f t="shared" si="6"/>
        <v>Senior</v>
      </c>
    </row>
    <row r="405" spans="1:7" x14ac:dyDescent="0.25">
      <c r="A405">
        <v>404</v>
      </c>
      <c r="B405">
        <v>59</v>
      </c>
      <c r="C405" t="s">
        <v>10</v>
      </c>
      <c r="D405">
        <v>1074</v>
      </c>
      <c r="E405" t="s">
        <v>7</v>
      </c>
      <c r="F405">
        <v>0</v>
      </c>
      <c r="G405" t="str">
        <f t="shared" si="6"/>
        <v>Senior</v>
      </c>
    </row>
    <row r="406" spans="1:7" x14ac:dyDescent="0.25">
      <c r="A406">
        <v>405</v>
      </c>
      <c r="B406">
        <v>50</v>
      </c>
      <c r="C406" t="s">
        <v>10</v>
      </c>
      <c r="D406">
        <v>1790</v>
      </c>
      <c r="E406" t="s">
        <v>7</v>
      </c>
      <c r="F406">
        <v>0</v>
      </c>
      <c r="G406" t="str">
        <f t="shared" si="6"/>
        <v>Senior</v>
      </c>
    </row>
    <row r="407" spans="1:7" x14ac:dyDescent="0.25">
      <c r="A407">
        <v>406</v>
      </c>
      <c r="B407">
        <v>38</v>
      </c>
      <c r="C407" t="s">
        <v>11</v>
      </c>
      <c r="D407">
        <v>1799</v>
      </c>
      <c r="E407" t="s">
        <v>7</v>
      </c>
      <c r="F407">
        <v>0</v>
      </c>
      <c r="G407" t="str">
        <f t="shared" si="6"/>
        <v>Middle</v>
      </c>
    </row>
    <row r="408" spans="1:7" x14ac:dyDescent="0.25">
      <c r="A408">
        <v>407</v>
      </c>
      <c r="B408">
        <v>78</v>
      </c>
      <c r="C408" t="s">
        <v>9</v>
      </c>
      <c r="D408">
        <v>2690</v>
      </c>
      <c r="E408" t="s">
        <v>7</v>
      </c>
      <c r="F408">
        <v>0</v>
      </c>
      <c r="G408" t="str">
        <f t="shared" si="6"/>
        <v>Senior</v>
      </c>
    </row>
    <row r="409" spans="1:7" x14ac:dyDescent="0.25">
      <c r="A409">
        <v>408</v>
      </c>
      <c r="B409">
        <v>59</v>
      </c>
      <c r="C409" t="s">
        <v>6</v>
      </c>
      <c r="D409">
        <v>2946</v>
      </c>
      <c r="E409" t="s">
        <v>8</v>
      </c>
      <c r="F409">
        <v>3530</v>
      </c>
      <c r="G409" t="str">
        <f t="shared" si="6"/>
        <v>Senior</v>
      </c>
    </row>
    <row r="410" spans="1:7" x14ac:dyDescent="0.25">
      <c r="A410">
        <v>409</v>
      </c>
      <c r="B410">
        <v>58</v>
      </c>
      <c r="C410" t="s">
        <v>10</v>
      </c>
      <c r="D410">
        <v>1446</v>
      </c>
      <c r="E410" t="s">
        <v>7</v>
      </c>
      <c r="F410">
        <v>0</v>
      </c>
      <c r="G410" t="str">
        <f t="shared" si="6"/>
        <v>Senior</v>
      </c>
    </row>
    <row r="411" spans="1:7" x14ac:dyDescent="0.25">
      <c r="A411">
        <v>410</v>
      </c>
      <c r="B411">
        <v>41</v>
      </c>
      <c r="C411" t="s">
        <v>9</v>
      </c>
      <c r="D411">
        <v>2128</v>
      </c>
      <c r="E411" t="s">
        <v>7</v>
      </c>
      <c r="F411">
        <v>0</v>
      </c>
      <c r="G411" t="str">
        <f t="shared" si="6"/>
        <v>Middle</v>
      </c>
    </row>
    <row r="412" spans="1:7" x14ac:dyDescent="0.25">
      <c r="A412">
        <v>411</v>
      </c>
      <c r="B412">
        <v>54</v>
      </c>
      <c r="C412" t="s">
        <v>11</v>
      </c>
      <c r="D412">
        <v>2650</v>
      </c>
      <c r="E412" t="s">
        <v>7</v>
      </c>
      <c r="F412">
        <v>0</v>
      </c>
      <c r="G412" t="str">
        <f t="shared" si="6"/>
        <v>Senior</v>
      </c>
    </row>
    <row r="413" spans="1:7" x14ac:dyDescent="0.25">
      <c r="A413">
        <v>412</v>
      </c>
      <c r="B413">
        <v>44</v>
      </c>
      <c r="C413" t="s">
        <v>11</v>
      </c>
      <c r="D413">
        <v>2119</v>
      </c>
      <c r="E413" t="s">
        <v>7</v>
      </c>
      <c r="F413">
        <v>0</v>
      </c>
      <c r="G413" t="str">
        <f t="shared" si="6"/>
        <v>Middle</v>
      </c>
    </row>
    <row r="414" spans="1:7" x14ac:dyDescent="0.25">
      <c r="A414">
        <v>413</v>
      </c>
      <c r="B414">
        <v>30</v>
      </c>
      <c r="C414" t="s">
        <v>10</v>
      </c>
      <c r="D414">
        <v>855</v>
      </c>
      <c r="E414" t="s">
        <v>7</v>
      </c>
      <c r="F414">
        <v>0</v>
      </c>
      <c r="G414" t="str">
        <f t="shared" si="6"/>
        <v>Middle</v>
      </c>
    </row>
    <row r="415" spans="1:7" x14ac:dyDescent="0.25">
      <c r="A415">
        <v>414</v>
      </c>
      <c r="B415">
        <v>42</v>
      </c>
      <c r="C415" t="s">
        <v>9</v>
      </c>
      <c r="D415">
        <v>1254</v>
      </c>
      <c r="E415" t="s">
        <v>7</v>
      </c>
      <c r="F415">
        <v>0</v>
      </c>
      <c r="G415" t="str">
        <f t="shared" si="6"/>
        <v>Middle</v>
      </c>
    </row>
    <row r="416" spans="1:7" x14ac:dyDescent="0.25">
      <c r="A416">
        <v>415</v>
      </c>
      <c r="B416">
        <v>18</v>
      </c>
      <c r="C416" t="s">
        <v>6</v>
      </c>
      <c r="D416">
        <v>2650</v>
      </c>
      <c r="E416" t="s">
        <v>7</v>
      </c>
      <c r="F416">
        <v>0</v>
      </c>
      <c r="G416" t="str">
        <f t="shared" si="6"/>
        <v>Young</v>
      </c>
    </row>
    <row r="417" spans="1:7" x14ac:dyDescent="0.25">
      <c r="A417">
        <v>416</v>
      </c>
      <c r="B417">
        <v>54</v>
      </c>
      <c r="C417" t="s">
        <v>10</v>
      </c>
      <c r="D417">
        <v>1841</v>
      </c>
      <c r="E417" t="s">
        <v>7</v>
      </c>
      <c r="F417">
        <v>0</v>
      </c>
      <c r="G417" t="str">
        <f t="shared" si="6"/>
        <v>Senior</v>
      </c>
    </row>
    <row r="418" spans="1:7" x14ac:dyDescent="0.25">
      <c r="A418">
        <v>417</v>
      </c>
      <c r="B418">
        <v>40</v>
      </c>
      <c r="C418" t="s">
        <v>6</v>
      </c>
      <c r="D418">
        <v>832</v>
      </c>
      <c r="E418" t="s">
        <v>7</v>
      </c>
      <c r="F418">
        <v>0</v>
      </c>
      <c r="G418" t="str">
        <f t="shared" si="6"/>
        <v>Middle</v>
      </c>
    </row>
    <row r="419" spans="1:7" x14ac:dyDescent="0.25">
      <c r="A419">
        <v>418</v>
      </c>
      <c r="B419">
        <v>34</v>
      </c>
      <c r="C419" t="s">
        <v>11</v>
      </c>
      <c r="D419">
        <v>1163</v>
      </c>
      <c r="E419" t="s">
        <v>7</v>
      </c>
      <c r="F419">
        <v>0</v>
      </c>
      <c r="G419" t="str">
        <f t="shared" si="6"/>
        <v>Middle</v>
      </c>
    </row>
    <row r="420" spans="1:7" x14ac:dyDescent="0.25">
      <c r="A420">
        <v>419</v>
      </c>
      <c r="B420">
        <v>67</v>
      </c>
      <c r="C420" t="s">
        <v>10</v>
      </c>
      <c r="D420">
        <v>933</v>
      </c>
      <c r="E420" t="s">
        <v>7</v>
      </c>
      <c r="F420">
        <v>0</v>
      </c>
      <c r="G420" t="str">
        <f t="shared" si="6"/>
        <v>Senior</v>
      </c>
    </row>
    <row r="421" spans="1:7" x14ac:dyDescent="0.25">
      <c r="A421">
        <v>420</v>
      </c>
      <c r="B421">
        <v>72</v>
      </c>
      <c r="C421" t="s">
        <v>9</v>
      </c>
      <c r="D421">
        <v>2804</v>
      </c>
      <c r="E421" t="s">
        <v>7</v>
      </c>
      <c r="F421">
        <v>0</v>
      </c>
      <c r="G421" t="str">
        <f t="shared" si="6"/>
        <v>Senior</v>
      </c>
    </row>
    <row r="422" spans="1:7" x14ac:dyDescent="0.25">
      <c r="A422">
        <v>421</v>
      </c>
      <c r="B422">
        <v>58</v>
      </c>
      <c r="C422" t="s">
        <v>10</v>
      </c>
      <c r="D422">
        <v>2361</v>
      </c>
      <c r="E422" t="s">
        <v>7</v>
      </c>
      <c r="F422">
        <v>0</v>
      </c>
      <c r="G422" t="str">
        <f t="shared" si="6"/>
        <v>Senior</v>
      </c>
    </row>
    <row r="423" spans="1:7" x14ac:dyDescent="0.25">
      <c r="A423">
        <v>422</v>
      </c>
      <c r="B423">
        <v>24</v>
      </c>
      <c r="C423" t="s">
        <v>6</v>
      </c>
      <c r="D423">
        <v>2348</v>
      </c>
      <c r="E423" t="s">
        <v>7</v>
      </c>
      <c r="F423">
        <v>0</v>
      </c>
      <c r="G423" t="str">
        <f t="shared" si="6"/>
        <v>Young</v>
      </c>
    </row>
    <row r="424" spans="1:7" x14ac:dyDescent="0.25">
      <c r="A424">
        <v>423</v>
      </c>
      <c r="B424">
        <v>31</v>
      </c>
      <c r="C424" t="s">
        <v>6</v>
      </c>
      <c r="D424">
        <v>1230</v>
      </c>
      <c r="E424" t="s">
        <v>7</v>
      </c>
      <c r="F424">
        <v>0</v>
      </c>
      <c r="G424" t="str">
        <f t="shared" si="6"/>
        <v>Middle</v>
      </c>
    </row>
    <row r="425" spans="1:7" x14ac:dyDescent="0.25">
      <c r="A425">
        <v>424</v>
      </c>
      <c r="B425">
        <v>68</v>
      </c>
      <c r="C425" t="s">
        <v>11</v>
      </c>
      <c r="D425">
        <v>1625</v>
      </c>
      <c r="E425" t="s">
        <v>7</v>
      </c>
      <c r="F425">
        <v>0</v>
      </c>
      <c r="G425" t="str">
        <f t="shared" si="6"/>
        <v>Senior</v>
      </c>
    </row>
    <row r="426" spans="1:7" x14ac:dyDescent="0.25">
      <c r="A426">
        <v>425</v>
      </c>
      <c r="B426">
        <v>66</v>
      </c>
      <c r="C426" t="s">
        <v>11</v>
      </c>
      <c r="D426">
        <v>2879</v>
      </c>
      <c r="E426" t="s">
        <v>7</v>
      </c>
      <c r="F426">
        <v>0</v>
      </c>
      <c r="G426" t="str">
        <f t="shared" si="6"/>
        <v>Senior</v>
      </c>
    </row>
    <row r="427" spans="1:7" x14ac:dyDescent="0.25">
      <c r="A427">
        <v>426</v>
      </c>
      <c r="B427">
        <v>19</v>
      </c>
      <c r="C427" t="s">
        <v>6</v>
      </c>
      <c r="D427">
        <v>2659</v>
      </c>
      <c r="E427" t="s">
        <v>8</v>
      </c>
      <c r="F427">
        <v>12591</v>
      </c>
      <c r="G427" t="str">
        <f t="shared" si="6"/>
        <v>Young</v>
      </c>
    </row>
    <row r="428" spans="1:7" x14ac:dyDescent="0.25">
      <c r="A428">
        <v>427</v>
      </c>
      <c r="B428">
        <v>24</v>
      </c>
      <c r="C428" t="s">
        <v>6</v>
      </c>
      <c r="D428">
        <v>2607</v>
      </c>
      <c r="E428" t="s">
        <v>7</v>
      </c>
      <c r="F428">
        <v>0</v>
      </c>
      <c r="G428" t="str">
        <f t="shared" si="6"/>
        <v>Young</v>
      </c>
    </row>
    <row r="429" spans="1:7" x14ac:dyDescent="0.25">
      <c r="A429">
        <v>428</v>
      </c>
      <c r="B429">
        <v>58</v>
      </c>
      <c r="C429" t="s">
        <v>9</v>
      </c>
      <c r="D429">
        <v>1460</v>
      </c>
      <c r="E429" t="s">
        <v>8</v>
      </c>
      <c r="F429">
        <v>15815</v>
      </c>
      <c r="G429" t="str">
        <f t="shared" si="6"/>
        <v>Senior</v>
      </c>
    </row>
    <row r="430" spans="1:7" x14ac:dyDescent="0.25">
      <c r="A430">
        <v>429</v>
      </c>
      <c r="B430">
        <v>71</v>
      </c>
      <c r="C430" t="s">
        <v>9</v>
      </c>
      <c r="D430">
        <v>2734</v>
      </c>
      <c r="E430" t="s">
        <v>7</v>
      </c>
      <c r="F430">
        <v>0</v>
      </c>
      <c r="G430" t="str">
        <f t="shared" si="6"/>
        <v>Senior</v>
      </c>
    </row>
    <row r="431" spans="1:7" x14ac:dyDescent="0.25">
      <c r="A431">
        <v>430</v>
      </c>
      <c r="B431">
        <v>62</v>
      </c>
      <c r="C431" t="s">
        <v>10</v>
      </c>
      <c r="D431">
        <v>1358</v>
      </c>
      <c r="E431" t="s">
        <v>7</v>
      </c>
      <c r="F431">
        <v>0</v>
      </c>
      <c r="G431" t="str">
        <f t="shared" si="6"/>
        <v>Senior</v>
      </c>
    </row>
    <row r="432" spans="1:7" x14ac:dyDescent="0.25">
      <c r="A432">
        <v>431</v>
      </c>
      <c r="B432">
        <v>39</v>
      </c>
      <c r="C432" t="s">
        <v>11</v>
      </c>
      <c r="D432">
        <v>1061</v>
      </c>
      <c r="E432" t="s">
        <v>7</v>
      </c>
      <c r="F432">
        <v>0</v>
      </c>
      <c r="G432" t="str">
        <f t="shared" si="6"/>
        <v>Middle</v>
      </c>
    </row>
    <row r="433" spans="1:7" x14ac:dyDescent="0.25">
      <c r="A433">
        <v>432</v>
      </c>
      <c r="B433">
        <v>33</v>
      </c>
      <c r="C433" t="s">
        <v>12</v>
      </c>
      <c r="D433">
        <v>2229</v>
      </c>
      <c r="E433" t="s">
        <v>7</v>
      </c>
      <c r="F433">
        <v>0</v>
      </c>
      <c r="G433" t="str">
        <f t="shared" si="6"/>
        <v>Middle</v>
      </c>
    </row>
    <row r="434" spans="1:7" x14ac:dyDescent="0.25">
      <c r="A434">
        <v>433</v>
      </c>
      <c r="B434">
        <v>32</v>
      </c>
      <c r="C434" t="s">
        <v>11</v>
      </c>
      <c r="D434">
        <v>2878</v>
      </c>
      <c r="E434" t="s">
        <v>8</v>
      </c>
      <c r="F434">
        <v>15631</v>
      </c>
      <c r="G434" t="str">
        <f t="shared" si="6"/>
        <v>Middle</v>
      </c>
    </row>
    <row r="435" spans="1:7" x14ac:dyDescent="0.25">
      <c r="A435">
        <v>434</v>
      </c>
      <c r="B435">
        <v>34</v>
      </c>
      <c r="C435" t="s">
        <v>6</v>
      </c>
      <c r="D435">
        <v>2582</v>
      </c>
      <c r="E435" t="s">
        <v>7</v>
      </c>
      <c r="F435">
        <v>0</v>
      </c>
      <c r="G435" t="str">
        <f t="shared" si="6"/>
        <v>Middle</v>
      </c>
    </row>
    <row r="436" spans="1:7" x14ac:dyDescent="0.25">
      <c r="A436">
        <v>435</v>
      </c>
      <c r="B436">
        <v>79</v>
      </c>
      <c r="C436" t="s">
        <v>6</v>
      </c>
      <c r="D436">
        <v>1514</v>
      </c>
      <c r="E436" t="s">
        <v>7</v>
      </c>
      <c r="F436">
        <v>0</v>
      </c>
      <c r="G436" t="str">
        <f t="shared" si="6"/>
        <v>Senior</v>
      </c>
    </row>
    <row r="437" spans="1:7" x14ac:dyDescent="0.25">
      <c r="A437">
        <v>436</v>
      </c>
      <c r="B437">
        <v>66</v>
      </c>
      <c r="C437" t="s">
        <v>10</v>
      </c>
      <c r="D437">
        <v>2346</v>
      </c>
      <c r="E437" t="s">
        <v>7</v>
      </c>
      <c r="F437">
        <v>0</v>
      </c>
      <c r="G437" t="str">
        <f t="shared" si="6"/>
        <v>Senior</v>
      </c>
    </row>
    <row r="438" spans="1:7" x14ac:dyDescent="0.25">
      <c r="A438">
        <v>437</v>
      </c>
      <c r="B438">
        <v>41</v>
      </c>
      <c r="C438" t="s">
        <v>11</v>
      </c>
      <c r="D438">
        <v>1663</v>
      </c>
      <c r="E438" t="s">
        <v>7</v>
      </c>
      <c r="F438">
        <v>0</v>
      </c>
      <c r="G438" t="str">
        <f t="shared" si="6"/>
        <v>Middle</v>
      </c>
    </row>
    <row r="439" spans="1:7" x14ac:dyDescent="0.25">
      <c r="A439">
        <v>438</v>
      </c>
      <c r="B439">
        <v>19</v>
      </c>
      <c r="C439" t="s">
        <v>10</v>
      </c>
      <c r="D439">
        <v>914</v>
      </c>
      <c r="E439" t="s">
        <v>7</v>
      </c>
      <c r="F439">
        <v>0</v>
      </c>
      <c r="G439" t="str">
        <f t="shared" si="6"/>
        <v>Young</v>
      </c>
    </row>
    <row r="440" spans="1:7" x14ac:dyDescent="0.25">
      <c r="A440">
        <v>439</v>
      </c>
      <c r="B440">
        <v>63</v>
      </c>
      <c r="C440" t="s">
        <v>6</v>
      </c>
      <c r="D440">
        <v>2468</v>
      </c>
      <c r="E440" t="s">
        <v>7</v>
      </c>
      <c r="F440">
        <v>0</v>
      </c>
      <c r="G440" t="str">
        <f t="shared" si="6"/>
        <v>Senior</v>
      </c>
    </row>
    <row r="441" spans="1:7" x14ac:dyDescent="0.25">
      <c r="A441">
        <v>440</v>
      </c>
      <c r="B441">
        <v>68</v>
      </c>
      <c r="C441" t="s">
        <v>12</v>
      </c>
      <c r="D441">
        <v>2130</v>
      </c>
      <c r="E441" t="s">
        <v>7</v>
      </c>
      <c r="F441">
        <v>0</v>
      </c>
      <c r="G441" t="str">
        <f t="shared" si="6"/>
        <v>Senior</v>
      </c>
    </row>
    <row r="442" spans="1:7" x14ac:dyDescent="0.25">
      <c r="A442">
        <v>441</v>
      </c>
      <c r="B442">
        <v>63</v>
      </c>
      <c r="C442" t="s">
        <v>11</v>
      </c>
      <c r="D442">
        <v>1592</v>
      </c>
      <c r="E442" t="s">
        <v>7</v>
      </c>
      <c r="F442">
        <v>0</v>
      </c>
      <c r="G442" t="str">
        <f t="shared" si="6"/>
        <v>Senior</v>
      </c>
    </row>
    <row r="443" spans="1:7" x14ac:dyDescent="0.25">
      <c r="A443">
        <v>442</v>
      </c>
      <c r="B443">
        <v>50</v>
      </c>
      <c r="C443" t="s">
        <v>11</v>
      </c>
      <c r="D443">
        <v>1793</v>
      </c>
      <c r="E443" t="s">
        <v>7</v>
      </c>
      <c r="F443">
        <v>0</v>
      </c>
      <c r="G443" t="str">
        <f t="shared" si="6"/>
        <v>Senior</v>
      </c>
    </row>
    <row r="444" spans="1:7" x14ac:dyDescent="0.25">
      <c r="A444">
        <v>443</v>
      </c>
      <c r="B444">
        <v>54</v>
      </c>
      <c r="C444" t="s">
        <v>10</v>
      </c>
      <c r="D444">
        <v>1380</v>
      </c>
      <c r="E444" t="s">
        <v>7</v>
      </c>
      <c r="F444">
        <v>0</v>
      </c>
      <c r="G444" t="str">
        <f t="shared" si="6"/>
        <v>Senior</v>
      </c>
    </row>
    <row r="445" spans="1:7" x14ac:dyDescent="0.25">
      <c r="A445">
        <v>444</v>
      </c>
      <c r="B445">
        <v>33</v>
      </c>
      <c r="C445" t="s">
        <v>11</v>
      </c>
      <c r="D445">
        <v>1543</v>
      </c>
      <c r="E445" t="s">
        <v>7</v>
      </c>
      <c r="F445">
        <v>0</v>
      </c>
      <c r="G445" t="str">
        <f t="shared" si="6"/>
        <v>Middle</v>
      </c>
    </row>
    <row r="446" spans="1:7" x14ac:dyDescent="0.25">
      <c r="A446">
        <v>445</v>
      </c>
      <c r="B446">
        <v>39</v>
      </c>
      <c r="C446" t="s">
        <v>6</v>
      </c>
      <c r="D446">
        <v>2771</v>
      </c>
      <c r="E446" t="s">
        <v>7</v>
      </c>
      <c r="F446">
        <v>0</v>
      </c>
      <c r="G446" t="str">
        <f t="shared" si="6"/>
        <v>Middle</v>
      </c>
    </row>
    <row r="447" spans="1:7" x14ac:dyDescent="0.25">
      <c r="A447">
        <v>446</v>
      </c>
      <c r="B447">
        <v>71</v>
      </c>
      <c r="C447" t="s">
        <v>12</v>
      </c>
      <c r="D447">
        <v>1800</v>
      </c>
      <c r="E447" t="s">
        <v>7</v>
      </c>
      <c r="F447">
        <v>0</v>
      </c>
      <c r="G447" t="str">
        <f t="shared" si="6"/>
        <v>Senior</v>
      </c>
    </row>
    <row r="448" spans="1:7" x14ac:dyDescent="0.25">
      <c r="A448">
        <v>447</v>
      </c>
      <c r="B448">
        <v>29</v>
      </c>
      <c r="C448" t="s">
        <v>6</v>
      </c>
      <c r="D448">
        <v>1236</v>
      </c>
      <c r="E448" t="s">
        <v>7</v>
      </c>
      <c r="F448">
        <v>0</v>
      </c>
      <c r="G448" t="str">
        <f t="shared" si="6"/>
        <v>Young</v>
      </c>
    </row>
    <row r="449" spans="1:7" x14ac:dyDescent="0.25">
      <c r="A449">
        <v>448</v>
      </c>
      <c r="B449">
        <v>42</v>
      </c>
      <c r="C449" t="s">
        <v>6</v>
      </c>
      <c r="D449">
        <v>2176</v>
      </c>
      <c r="E449" t="s">
        <v>7</v>
      </c>
      <c r="F449">
        <v>0</v>
      </c>
      <c r="G449" t="str">
        <f t="shared" si="6"/>
        <v>Middle</v>
      </c>
    </row>
    <row r="450" spans="1:7" x14ac:dyDescent="0.25">
      <c r="A450">
        <v>449</v>
      </c>
      <c r="B450">
        <v>36</v>
      </c>
      <c r="C450" t="s">
        <v>9</v>
      </c>
      <c r="D450">
        <v>2953</v>
      </c>
      <c r="E450" t="s">
        <v>7</v>
      </c>
      <c r="F450">
        <v>0</v>
      </c>
      <c r="G450" t="str">
        <f t="shared" si="6"/>
        <v>Middle</v>
      </c>
    </row>
    <row r="451" spans="1:7" x14ac:dyDescent="0.25">
      <c r="A451">
        <v>450</v>
      </c>
      <c r="B451">
        <v>71</v>
      </c>
      <c r="C451" t="s">
        <v>9</v>
      </c>
      <c r="D451">
        <v>1772</v>
      </c>
      <c r="E451" t="s">
        <v>7</v>
      </c>
      <c r="F451">
        <v>0</v>
      </c>
      <c r="G451" t="str">
        <f t="shared" ref="G451:G501" si="7">IF(B451&lt;30,"Young",IF(B451&lt;50,"Middle","Senior"))</f>
        <v>Senior</v>
      </c>
    </row>
    <row r="452" spans="1:7" x14ac:dyDescent="0.25">
      <c r="A452">
        <v>451</v>
      </c>
      <c r="B452">
        <v>70</v>
      </c>
      <c r="C452" t="s">
        <v>6</v>
      </c>
      <c r="D452">
        <v>2633</v>
      </c>
      <c r="E452" t="s">
        <v>7</v>
      </c>
      <c r="F452">
        <v>0</v>
      </c>
      <c r="G452" t="str">
        <f t="shared" si="7"/>
        <v>Senior</v>
      </c>
    </row>
    <row r="453" spans="1:7" x14ac:dyDescent="0.25">
      <c r="A453">
        <v>452</v>
      </c>
      <c r="B453">
        <v>24</v>
      </c>
      <c r="C453" t="s">
        <v>9</v>
      </c>
      <c r="D453">
        <v>1942</v>
      </c>
      <c r="E453" t="s">
        <v>7</v>
      </c>
      <c r="F453">
        <v>0</v>
      </c>
      <c r="G453" t="str">
        <f t="shared" si="7"/>
        <v>Young</v>
      </c>
    </row>
    <row r="454" spans="1:7" x14ac:dyDescent="0.25">
      <c r="A454">
        <v>453</v>
      </c>
      <c r="B454">
        <v>41</v>
      </c>
      <c r="C454" t="s">
        <v>10</v>
      </c>
      <c r="D454">
        <v>1961</v>
      </c>
      <c r="E454" t="s">
        <v>8</v>
      </c>
      <c r="F454">
        <v>12219</v>
      </c>
      <c r="G454" t="str">
        <f t="shared" si="7"/>
        <v>Middle</v>
      </c>
    </row>
    <row r="455" spans="1:7" x14ac:dyDescent="0.25">
      <c r="A455">
        <v>454</v>
      </c>
      <c r="B455">
        <v>43</v>
      </c>
      <c r="C455" t="s">
        <v>12</v>
      </c>
      <c r="D455">
        <v>1002</v>
      </c>
      <c r="E455" t="s">
        <v>8</v>
      </c>
      <c r="F455">
        <v>7137</v>
      </c>
      <c r="G455" t="str">
        <f t="shared" si="7"/>
        <v>Middle</v>
      </c>
    </row>
    <row r="456" spans="1:7" x14ac:dyDescent="0.25">
      <c r="A456">
        <v>455</v>
      </c>
      <c r="B456">
        <v>33</v>
      </c>
      <c r="C456" t="s">
        <v>11</v>
      </c>
      <c r="D456">
        <v>2611</v>
      </c>
      <c r="E456" t="s">
        <v>7</v>
      </c>
      <c r="F456">
        <v>0</v>
      </c>
      <c r="G456" t="str">
        <f t="shared" si="7"/>
        <v>Middle</v>
      </c>
    </row>
    <row r="457" spans="1:7" x14ac:dyDescent="0.25">
      <c r="A457">
        <v>456</v>
      </c>
      <c r="B457">
        <v>58</v>
      </c>
      <c r="C457" t="s">
        <v>12</v>
      </c>
      <c r="D457">
        <v>2238</v>
      </c>
      <c r="E457" t="s">
        <v>7</v>
      </c>
      <c r="F457">
        <v>0</v>
      </c>
      <c r="G457" t="str">
        <f t="shared" si="7"/>
        <v>Senior</v>
      </c>
    </row>
    <row r="458" spans="1:7" x14ac:dyDescent="0.25">
      <c r="A458">
        <v>457</v>
      </c>
      <c r="B458">
        <v>30</v>
      </c>
      <c r="C458" t="s">
        <v>10</v>
      </c>
      <c r="D458">
        <v>1059</v>
      </c>
      <c r="E458" t="s">
        <v>7</v>
      </c>
      <c r="F458">
        <v>0</v>
      </c>
      <c r="G458" t="str">
        <f t="shared" si="7"/>
        <v>Middle</v>
      </c>
    </row>
    <row r="459" spans="1:7" x14ac:dyDescent="0.25">
      <c r="A459">
        <v>458</v>
      </c>
      <c r="B459">
        <v>35</v>
      </c>
      <c r="C459" t="s">
        <v>6</v>
      </c>
      <c r="D459">
        <v>1889</v>
      </c>
      <c r="E459" t="s">
        <v>7</v>
      </c>
      <c r="F459">
        <v>0</v>
      </c>
      <c r="G459" t="str">
        <f t="shared" si="7"/>
        <v>Middle</v>
      </c>
    </row>
    <row r="460" spans="1:7" x14ac:dyDescent="0.25">
      <c r="A460">
        <v>459</v>
      </c>
      <c r="B460">
        <v>51</v>
      </c>
      <c r="C460" t="s">
        <v>11</v>
      </c>
      <c r="D460">
        <v>878</v>
      </c>
      <c r="E460" t="s">
        <v>7</v>
      </c>
      <c r="F460">
        <v>0</v>
      </c>
      <c r="G460" t="str">
        <f t="shared" si="7"/>
        <v>Senior</v>
      </c>
    </row>
    <row r="461" spans="1:7" x14ac:dyDescent="0.25">
      <c r="A461">
        <v>460</v>
      </c>
      <c r="B461">
        <v>75</v>
      </c>
      <c r="C461" t="s">
        <v>11</v>
      </c>
      <c r="D461">
        <v>2546</v>
      </c>
      <c r="E461" t="s">
        <v>8</v>
      </c>
      <c r="F461">
        <v>15752</v>
      </c>
      <c r="G461" t="str">
        <f t="shared" si="7"/>
        <v>Senior</v>
      </c>
    </row>
    <row r="462" spans="1:7" x14ac:dyDescent="0.25">
      <c r="A462">
        <v>461</v>
      </c>
      <c r="B462">
        <v>55</v>
      </c>
      <c r="C462" t="s">
        <v>6</v>
      </c>
      <c r="D462">
        <v>1205</v>
      </c>
      <c r="E462" t="s">
        <v>7</v>
      </c>
      <c r="F462">
        <v>0</v>
      </c>
      <c r="G462" t="str">
        <f t="shared" si="7"/>
        <v>Senior</v>
      </c>
    </row>
    <row r="463" spans="1:7" x14ac:dyDescent="0.25">
      <c r="A463">
        <v>462</v>
      </c>
      <c r="B463">
        <v>63</v>
      </c>
      <c r="C463" t="s">
        <v>6</v>
      </c>
      <c r="D463">
        <v>2859</v>
      </c>
      <c r="E463" t="s">
        <v>7</v>
      </c>
      <c r="F463">
        <v>0</v>
      </c>
      <c r="G463" t="str">
        <f t="shared" si="7"/>
        <v>Senior</v>
      </c>
    </row>
    <row r="464" spans="1:7" x14ac:dyDescent="0.25">
      <c r="A464">
        <v>463</v>
      </c>
      <c r="B464">
        <v>60</v>
      </c>
      <c r="C464" t="s">
        <v>9</v>
      </c>
      <c r="D464">
        <v>875</v>
      </c>
      <c r="E464" t="s">
        <v>7</v>
      </c>
      <c r="F464">
        <v>0</v>
      </c>
      <c r="G464" t="str">
        <f t="shared" si="7"/>
        <v>Senior</v>
      </c>
    </row>
    <row r="465" spans="1:7" x14ac:dyDescent="0.25">
      <c r="A465">
        <v>464</v>
      </c>
      <c r="B465">
        <v>28</v>
      </c>
      <c r="C465" t="s">
        <v>10</v>
      </c>
      <c r="D465">
        <v>2758</v>
      </c>
      <c r="E465" t="s">
        <v>7</v>
      </c>
      <c r="F465">
        <v>0</v>
      </c>
      <c r="G465" t="str">
        <f t="shared" si="7"/>
        <v>Young</v>
      </c>
    </row>
    <row r="466" spans="1:7" x14ac:dyDescent="0.25">
      <c r="A466">
        <v>465</v>
      </c>
      <c r="B466">
        <v>40</v>
      </c>
      <c r="C466" t="s">
        <v>11</v>
      </c>
      <c r="D466">
        <v>1556</v>
      </c>
      <c r="E466" t="s">
        <v>7</v>
      </c>
      <c r="F466">
        <v>0</v>
      </c>
      <c r="G466" t="str">
        <f t="shared" si="7"/>
        <v>Middle</v>
      </c>
    </row>
    <row r="467" spans="1:7" x14ac:dyDescent="0.25">
      <c r="A467">
        <v>466</v>
      </c>
      <c r="B467">
        <v>25</v>
      </c>
      <c r="C467" t="s">
        <v>10</v>
      </c>
      <c r="D467">
        <v>1367</v>
      </c>
      <c r="E467" t="s">
        <v>7</v>
      </c>
      <c r="F467">
        <v>0</v>
      </c>
      <c r="G467" t="str">
        <f t="shared" si="7"/>
        <v>Young</v>
      </c>
    </row>
    <row r="468" spans="1:7" x14ac:dyDescent="0.25">
      <c r="A468">
        <v>467</v>
      </c>
      <c r="B468">
        <v>44</v>
      </c>
      <c r="C468" t="s">
        <v>9</v>
      </c>
      <c r="D468">
        <v>2750</v>
      </c>
      <c r="E468" t="s">
        <v>7</v>
      </c>
      <c r="F468">
        <v>0</v>
      </c>
      <c r="G468" t="str">
        <f t="shared" si="7"/>
        <v>Middle</v>
      </c>
    </row>
    <row r="469" spans="1:7" x14ac:dyDescent="0.25">
      <c r="A469">
        <v>468</v>
      </c>
      <c r="B469">
        <v>78</v>
      </c>
      <c r="C469" t="s">
        <v>12</v>
      </c>
      <c r="D469">
        <v>1984</v>
      </c>
      <c r="E469" t="s">
        <v>7</v>
      </c>
      <c r="F469">
        <v>0</v>
      </c>
      <c r="G469" t="str">
        <f t="shared" si="7"/>
        <v>Senior</v>
      </c>
    </row>
    <row r="470" spans="1:7" x14ac:dyDescent="0.25">
      <c r="A470">
        <v>469</v>
      </c>
      <c r="B470">
        <v>71</v>
      </c>
      <c r="C470" t="s">
        <v>9</v>
      </c>
      <c r="D470">
        <v>844</v>
      </c>
      <c r="E470" t="s">
        <v>8</v>
      </c>
      <c r="F470">
        <v>3405</v>
      </c>
      <c r="G470" t="str">
        <f t="shared" si="7"/>
        <v>Senior</v>
      </c>
    </row>
    <row r="471" spans="1:7" x14ac:dyDescent="0.25">
      <c r="A471">
        <v>470</v>
      </c>
      <c r="B471">
        <v>37</v>
      </c>
      <c r="C471" t="s">
        <v>10</v>
      </c>
      <c r="D471">
        <v>1093</v>
      </c>
      <c r="E471" t="s">
        <v>7</v>
      </c>
      <c r="F471">
        <v>0</v>
      </c>
      <c r="G471" t="str">
        <f t="shared" si="7"/>
        <v>Middle</v>
      </c>
    </row>
    <row r="472" spans="1:7" x14ac:dyDescent="0.25">
      <c r="A472">
        <v>471</v>
      </c>
      <c r="B472">
        <v>62</v>
      </c>
      <c r="C472" t="s">
        <v>12</v>
      </c>
      <c r="D472">
        <v>820</v>
      </c>
      <c r="E472" t="s">
        <v>7</v>
      </c>
      <c r="F472">
        <v>0</v>
      </c>
      <c r="G472" t="str">
        <f t="shared" si="7"/>
        <v>Senior</v>
      </c>
    </row>
    <row r="473" spans="1:7" x14ac:dyDescent="0.25">
      <c r="A473">
        <v>472</v>
      </c>
      <c r="B473">
        <v>61</v>
      </c>
      <c r="C473" t="s">
        <v>9</v>
      </c>
      <c r="D473">
        <v>2109</v>
      </c>
      <c r="E473" t="s">
        <v>7</v>
      </c>
      <c r="F473">
        <v>0</v>
      </c>
      <c r="G473" t="str">
        <f t="shared" si="7"/>
        <v>Senior</v>
      </c>
    </row>
    <row r="474" spans="1:7" x14ac:dyDescent="0.25">
      <c r="A474">
        <v>473</v>
      </c>
      <c r="B474">
        <v>45</v>
      </c>
      <c r="C474" t="s">
        <v>10</v>
      </c>
      <c r="D474">
        <v>1294</v>
      </c>
      <c r="E474" t="s">
        <v>7</v>
      </c>
      <c r="F474">
        <v>0</v>
      </c>
      <c r="G474" t="str">
        <f t="shared" si="7"/>
        <v>Middle</v>
      </c>
    </row>
    <row r="475" spans="1:7" x14ac:dyDescent="0.25">
      <c r="A475">
        <v>474</v>
      </c>
      <c r="B475">
        <v>62</v>
      </c>
      <c r="C475" t="s">
        <v>9</v>
      </c>
      <c r="D475">
        <v>1832</v>
      </c>
      <c r="E475" t="s">
        <v>8</v>
      </c>
      <c r="F475">
        <v>11231</v>
      </c>
      <c r="G475" t="str">
        <f t="shared" si="7"/>
        <v>Senior</v>
      </c>
    </row>
    <row r="476" spans="1:7" x14ac:dyDescent="0.25">
      <c r="A476">
        <v>475</v>
      </c>
      <c r="B476">
        <v>21</v>
      </c>
      <c r="C476" t="s">
        <v>11</v>
      </c>
      <c r="D476">
        <v>1555</v>
      </c>
      <c r="E476" t="s">
        <v>7</v>
      </c>
      <c r="F476">
        <v>0</v>
      </c>
      <c r="G476" t="str">
        <f t="shared" si="7"/>
        <v>Young</v>
      </c>
    </row>
    <row r="477" spans="1:7" x14ac:dyDescent="0.25">
      <c r="A477">
        <v>476</v>
      </c>
      <c r="B477">
        <v>56</v>
      </c>
      <c r="C477" t="s">
        <v>11</v>
      </c>
      <c r="D477">
        <v>1399</v>
      </c>
      <c r="E477" t="s">
        <v>7</v>
      </c>
      <c r="F477">
        <v>0</v>
      </c>
      <c r="G477" t="str">
        <f t="shared" si="7"/>
        <v>Senior</v>
      </c>
    </row>
    <row r="478" spans="1:7" x14ac:dyDescent="0.25">
      <c r="A478">
        <v>477</v>
      </c>
      <c r="B478">
        <v>26</v>
      </c>
      <c r="C478" t="s">
        <v>6</v>
      </c>
      <c r="D478">
        <v>1434</v>
      </c>
      <c r="E478" t="s">
        <v>7</v>
      </c>
      <c r="F478">
        <v>0</v>
      </c>
      <c r="G478" t="str">
        <f t="shared" si="7"/>
        <v>Young</v>
      </c>
    </row>
    <row r="479" spans="1:7" x14ac:dyDescent="0.25">
      <c r="A479">
        <v>478</v>
      </c>
      <c r="B479">
        <v>22</v>
      </c>
      <c r="C479" t="s">
        <v>11</v>
      </c>
      <c r="D479">
        <v>2806</v>
      </c>
      <c r="E479" t="s">
        <v>7</v>
      </c>
      <c r="F479">
        <v>0</v>
      </c>
      <c r="G479" t="str">
        <f t="shared" si="7"/>
        <v>Young</v>
      </c>
    </row>
    <row r="480" spans="1:7" x14ac:dyDescent="0.25">
      <c r="A480">
        <v>479</v>
      </c>
      <c r="B480">
        <v>62</v>
      </c>
      <c r="C480" t="s">
        <v>12</v>
      </c>
      <c r="D480">
        <v>2092</v>
      </c>
      <c r="E480" t="s">
        <v>7</v>
      </c>
      <c r="F480">
        <v>0</v>
      </c>
      <c r="G480" t="str">
        <f t="shared" si="7"/>
        <v>Senior</v>
      </c>
    </row>
    <row r="481" spans="1:7" x14ac:dyDescent="0.25">
      <c r="A481">
        <v>480</v>
      </c>
      <c r="B481">
        <v>72</v>
      </c>
      <c r="C481" t="s">
        <v>11</v>
      </c>
      <c r="D481">
        <v>1286</v>
      </c>
      <c r="E481" t="s">
        <v>7</v>
      </c>
      <c r="F481">
        <v>0</v>
      </c>
      <c r="G481" t="str">
        <f t="shared" si="7"/>
        <v>Senior</v>
      </c>
    </row>
    <row r="482" spans="1:7" x14ac:dyDescent="0.25">
      <c r="A482">
        <v>481</v>
      </c>
      <c r="B482">
        <v>32</v>
      </c>
      <c r="C482" t="s">
        <v>9</v>
      </c>
      <c r="D482">
        <v>1287</v>
      </c>
      <c r="E482" t="s">
        <v>7</v>
      </c>
      <c r="F482">
        <v>0</v>
      </c>
      <c r="G482" t="str">
        <f t="shared" si="7"/>
        <v>Middle</v>
      </c>
    </row>
    <row r="483" spans="1:7" x14ac:dyDescent="0.25">
      <c r="A483">
        <v>482</v>
      </c>
      <c r="B483">
        <v>78</v>
      </c>
      <c r="C483" t="s">
        <v>9</v>
      </c>
      <c r="D483">
        <v>2708</v>
      </c>
      <c r="E483" t="s">
        <v>8</v>
      </c>
      <c r="F483">
        <v>19869</v>
      </c>
      <c r="G483" t="str">
        <f t="shared" si="7"/>
        <v>Senior</v>
      </c>
    </row>
    <row r="484" spans="1:7" x14ac:dyDescent="0.25">
      <c r="A484">
        <v>483</v>
      </c>
      <c r="B484">
        <v>38</v>
      </c>
      <c r="C484" t="s">
        <v>6</v>
      </c>
      <c r="D484">
        <v>2989</v>
      </c>
      <c r="E484" t="s">
        <v>7</v>
      </c>
      <c r="F484">
        <v>0</v>
      </c>
      <c r="G484" t="str">
        <f t="shared" si="7"/>
        <v>Middle</v>
      </c>
    </row>
    <row r="485" spans="1:7" x14ac:dyDescent="0.25">
      <c r="A485">
        <v>484</v>
      </c>
      <c r="B485">
        <v>73</v>
      </c>
      <c r="C485" t="s">
        <v>9</v>
      </c>
      <c r="D485">
        <v>1134</v>
      </c>
      <c r="E485" t="s">
        <v>8</v>
      </c>
      <c r="F485">
        <v>4991</v>
      </c>
      <c r="G485" t="str">
        <f t="shared" si="7"/>
        <v>Senior</v>
      </c>
    </row>
    <row r="486" spans="1:7" x14ac:dyDescent="0.25">
      <c r="A486">
        <v>485</v>
      </c>
      <c r="B486">
        <v>44</v>
      </c>
      <c r="C486" t="s">
        <v>10</v>
      </c>
      <c r="D486">
        <v>2348</v>
      </c>
      <c r="E486" t="s">
        <v>7</v>
      </c>
      <c r="F486">
        <v>0</v>
      </c>
      <c r="G486" t="str">
        <f t="shared" si="7"/>
        <v>Middle</v>
      </c>
    </row>
    <row r="487" spans="1:7" x14ac:dyDescent="0.25">
      <c r="A487">
        <v>486</v>
      </c>
      <c r="B487">
        <v>25</v>
      </c>
      <c r="C487" t="s">
        <v>11</v>
      </c>
      <c r="D487">
        <v>953</v>
      </c>
      <c r="E487" t="s">
        <v>7</v>
      </c>
      <c r="F487">
        <v>0</v>
      </c>
      <c r="G487" t="str">
        <f t="shared" si="7"/>
        <v>Young</v>
      </c>
    </row>
    <row r="488" spans="1:7" x14ac:dyDescent="0.25">
      <c r="A488">
        <v>487</v>
      </c>
      <c r="B488">
        <v>48</v>
      </c>
      <c r="C488" t="s">
        <v>11</v>
      </c>
      <c r="D488">
        <v>1751</v>
      </c>
      <c r="E488" t="s">
        <v>7</v>
      </c>
      <c r="F488">
        <v>0</v>
      </c>
      <c r="G488" t="str">
        <f t="shared" si="7"/>
        <v>Middle</v>
      </c>
    </row>
    <row r="489" spans="1:7" x14ac:dyDescent="0.25">
      <c r="A489">
        <v>488</v>
      </c>
      <c r="B489">
        <v>35</v>
      </c>
      <c r="C489" t="s">
        <v>10</v>
      </c>
      <c r="D489">
        <v>1217</v>
      </c>
      <c r="E489" t="s">
        <v>7</v>
      </c>
      <c r="F489">
        <v>0</v>
      </c>
      <c r="G489" t="str">
        <f t="shared" si="7"/>
        <v>Middle</v>
      </c>
    </row>
    <row r="490" spans="1:7" x14ac:dyDescent="0.25">
      <c r="A490">
        <v>489</v>
      </c>
      <c r="B490">
        <v>24</v>
      </c>
      <c r="C490" t="s">
        <v>9</v>
      </c>
      <c r="D490">
        <v>2707</v>
      </c>
      <c r="E490" t="s">
        <v>7</v>
      </c>
      <c r="F490">
        <v>0</v>
      </c>
      <c r="G490" t="str">
        <f t="shared" si="7"/>
        <v>Young</v>
      </c>
    </row>
    <row r="491" spans="1:7" x14ac:dyDescent="0.25">
      <c r="A491">
        <v>490</v>
      </c>
      <c r="B491">
        <v>59</v>
      </c>
      <c r="C491" t="s">
        <v>9</v>
      </c>
      <c r="D491">
        <v>2027</v>
      </c>
      <c r="E491" t="s">
        <v>7</v>
      </c>
      <c r="F491">
        <v>0</v>
      </c>
      <c r="G491" t="str">
        <f t="shared" si="7"/>
        <v>Senior</v>
      </c>
    </row>
    <row r="492" spans="1:7" x14ac:dyDescent="0.25">
      <c r="A492">
        <v>491</v>
      </c>
      <c r="B492">
        <v>77</v>
      </c>
      <c r="C492" t="s">
        <v>9</v>
      </c>
      <c r="D492">
        <v>1282</v>
      </c>
      <c r="E492" t="s">
        <v>7</v>
      </c>
      <c r="F492">
        <v>0</v>
      </c>
      <c r="G492" t="str">
        <f t="shared" si="7"/>
        <v>Senior</v>
      </c>
    </row>
    <row r="493" spans="1:7" x14ac:dyDescent="0.25">
      <c r="A493">
        <v>492</v>
      </c>
      <c r="B493">
        <v>71</v>
      </c>
      <c r="C493" t="s">
        <v>9</v>
      </c>
      <c r="D493">
        <v>2166</v>
      </c>
      <c r="E493" t="s">
        <v>7</v>
      </c>
      <c r="F493">
        <v>0</v>
      </c>
      <c r="G493" t="str">
        <f t="shared" si="7"/>
        <v>Senior</v>
      </c>
    </row>
    <row r="494" spans="1:7" x14ac:dyDescent="0.25">
      <c r="A494">
        <v>493</v>
      </c>
      <c r="B494">
        <v>30</v>
      </c>
      <c r="C494" t="s">
        <v>9</v>
      </c>
      <c r="D494">
        <v>1445</v>
      </c>
      <c r="E494" t="s">
        <v>7</v>
      </c>
      <c r="F494">
        <v>0</v>
      </c>
      <c r="G494" t="str">
        <f t="shared" si="7"/>
        <v>Middle</v>
      </c>
    </row>
    <row r="495" spans="1:7" x14ac:dyDescent="0.25">
      <c r="A495">
        <v>494</v>
      </c>
      <c r="B495">
        <v>33</v>
      </c>
      <c r="C495" t="s">
        <v>10</v>
      </c>
      <c r="D495">
        <v>1993</v>
      </c>
      <c r="E495" t="s">
        <v>7</v>
      </c>
      <c r="F495">
        <v>0</v>
      </c>
      <c r="G495" t="str">
        <f t="shared" si="7"/>
        <v>Middle</v>
      </c>
    </row>
    <row r="496" spans="1:7" x14ac:dyDescent="0.25">
      <c r="A496">
        <v>495</v>
      </c>
      <c r="B496">
        <v>69</v>
      </c>
      <c r="C496" t="s">
        <v>12</v>
      </c>
      <c r="D496">
        <v>2782</v>
      </c>
      <c r="E496" t="s">
        <v>7</v>
      </c>
      <c r="F496">
        <v>0</v>
      </c>
      <c r="G496" t="str">
        <f t="shared" si="7"/>
        <v>Senior</v>
      </c>
    </row>
    <row r="497" spans="1:7" x14ac:dyDescent="0.25">
      <c r="A497">
        <v>496</v>
      </c>
      <c r="B497">
        <v>64</v>
      </c>
      <c r="C497" t="s">
        <v>10</v>
      </c>
      <c r="D497">
        <v>1525</v>
      </c>
      <c r="E497" t="s">
        <v>7</v>
      </c>
      <c r="F497">
        <v>0</v>
      </c>
      <c r="G497" t="str">
        <f t="shared" si="7"/>
        <v>Senior</v>
      </c>
    </row>
    <row r="498" spans="1:7" x14ac:dyDescent="0.25">
      <c r="A498">
        <v>497</v>
      </c>
      <c r="B498">
        <v>48</v>
      </c>
      <c r="C498" t="s">
        <v>9</v>
      </c>
      <c r="D498">
        <v>2289</v>
      </c>
      <c r="E498" t="s">
        <v>7</v>
      </c>
      <c r="F498">
        <v>0</v>
      </c>
      <c r="G498" t="str">
        <f t="shared" si="7"/>
        <v>Middle</v>
      </c>
    </row>
    <row r="499" spans="1:7" x14ac:dyDescent="0.25">
      <c r="A499">
        <v>498</v>
      </c>
      <c r="B499">
        <v>41</v>
      </c>
      <c r="C499" t="s">
        <v>9</v>
      </c>
      <c r="D499">
        <v>2279</v>
      </c>
      <c r="E499" t="s">
        <v>7</v>
      </c>
      <c r="F499">
        <v>0</v>
      </c>
      <c r="G499" t="str">
        <f t="shared" si="7"/>
        <v>Middle</v>
      </c>
    </row>
    <row r="500" spans="1:7" x14ac:dyDescent="0.25">
      <c r="A500">
        <v>499</v>
      </c>
      <c r="B500">
        <v>18</v>
      </c>
      <c r="C500" t="s">
        <v>11</v>
      </c>
      <c r="D500">
        <v>2020</v>
      </c>
      <c r="E500" t="s">
        <v>7</v>
      </c>
      <c r="F500">
        <v>0</v>
      </c>
      <c r="G500" t="str">
        <f t="shared" si="7"/>
        <v>Young</v>
      </c>
    </row>
    <row r="501" spans="1:7" x14ac:dyDescent="0.25">
      <c r="A501">
        <v>500</v>
      </c>
      <c r="B501">
        <v>36</v>
      </c>
      <c r="C501" t="s">
        <v>10</v>
      </c>
      <c r="D501">
        <v>2964</v>
      </c>
      <c r="E501" t="s">
        <v>7</v>
      </c>
      <c r="F501">
        <v>0</v>
      </c>
      <c r="G501" t="str">
        <f t="shared" si="7"/>
        <v>Middle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9D22-1592-4EC2-AFEF-CE8A8D0D8733}">
  <dimension ref="A3:C9"/>
  <sheetViews>
    <sheetView tabSelected="1" workbookViewId="0">
      <selection activeCell="J14" sqref="J14"/>
    </sheetView>
  </sheetViews>
  <sheetFormatPr defaultRowHeight="15" x14ac:dyDescent="0.25"/>
  <cols>
    <col min="1" max="1" width="13.140625" bestFit="1" customWidth="1"/>
    <col min="2" max="2" width="21" bestFit="1" customWidth="1"/>
    <col min="3" max="3" width="14.140625" bestFit="1" customWidth="1"/>
  </cols>
  <sheetData>
    <row r="3" spans="1:3" x14ac:dyDescent="0.25">
      <c r="A3" s="5" t="s">
        <v>14</v>
      </c>
      <c r="B3" t="s">
        <v>16</v>
      </c>
      <c r="C3" t="s">
        <v>17</v>
      </c>
    </row>
    <row r="4" spans="1:3" x14ac:dyDescent="0.25">
      <c r="A4" s="6" t="s">
        <v>11</v>
      </c>
      <c r="B4" s="7">
        <v>149946</v>
      </c>
      <c r="C4" s="7">
        <v>113</v>
      </c>
    </row>
    <row r="5" spans="1:3" x14ac:dyDescent="0.25">
      <c r="A5" s="6" t="s">
        <v>6</v>
      </c>
      <c r="B5" s="7">
        <v>106630</v>
      </c>
      <c r="C5" s="7">
        <v>94</v>
      </c>
    </row>
    <row r="6" spans="1:3" x14ac:dyDescent="0.25">
      <c r="A6" s="6" t="s">
        <v>12</v>
      </c>
      <c r="B6" s="7">
        <v>136226</v>
      </c>
      <c r="C6" s="7">
        <v>93</v>
      </c>
    </row>
    <row r="7" spans="1:3" x14ac:dyDescent="0.25">
      <c r="A7" s="6" t="s">
        <v>10</v>
      </c>
      <c r="B7" s="7">
        <v>155041</v>
      </c>
      <c r="C7" s="7">
        <v>105</v>
      </c>
    </row>
    <row r="8" spans="1:3" x14ac:dyDescent="0.25">
      <c r="A8" s="6" t="s">
        <v>9</v>
      </c>
      <c r="B8" s="7">
        <v>200277</v>
      </c>
      <c r="C8" s="7">
        <v>95</v>
      </c>
    </row>
    <row r="9" spans="1:3" x14ac:dyDescent="0.25">
      <c r="A9" s="6" t="s">
        <v>15</v>
      </c>
      <c r="B9" s="7">
        <v>748120</v>
      </c>
      <c r="C9" s="7">
        <v>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F9EC-6FCB-4C73-83C4-60CFFD7BCCB3}">
  <dimension ref="A3:C7"/>
  <sheetViews>
    <sheetView workbookViewId="0">
      <selection activeCell="K14" sqref="K14"/>
    </sheetView>
  </sheetViews>
  <sheetFormatPr defaultRowHeight="15" x14ac:dyDescent="0.25"/>
  <cols>
    <col min="1" max="1" width="13.140625" bestFit="1" customWidth="1"/>
    <col min="2" max="2" width="21" bestFit="1" customWidth="1"/>
    <col min="3" max="3" width="17.42578125" bestFit="1" customWidth="1"/>
  </cols>
  <sheetData>
    <row r="3" spans="1:3" x14ac:dyDescent="0.25">
      <c r="A3" s="5" t="s">
        <v>14</v>
      </c>
      <c r="B3" t="s">
        <v>16</v>
      </c>
      <c r="C3" t="s">
        <v>22</v>
      </c>
    </row>
    <row r="4" spans="1:3" x14ac:dyDescent="0.25">
      <c r="A4" s="6" t="s">
        <v>19</v>
      </c>
      <c r="B4" s="7">
        <v>292655</v>
      </c>
      <c r="C4" s="7">
        <v>176</v>
      </c>
    </row>
    <row r="5" spans="1:3" x14ac:dyDescent="0.25">
      <c r="A5" s="6" t="s">
        <v>20</v>
      </c>
      <c r="B5" s="7">
        <v>358168</v>
      </c>
      <c r="C5" s="7">
        <v>240</v>
      </c>
    </row>
    <row r="6" spans="1:3" x14ac:dyDescent="0.25">
      <c r="A6" s="6" t="s">
        <v>21</v>
      </c>
      <c r="B6" s="7">
        <v>97297</v>
      </c>
      <c r="C6" s="7">
        <v>84</v>
      </c>
    </row>
    <row r="7" spans="1:3" x14ac:dyDescent="0.25">
      <c r="A7" s="6" t="s">
        <v>15</v>
      </c>
      <c r="B7" s="7">
        <v>748120</v>
      </c>
      <c r="C7" s="7">
        <v>500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State Analysis</vt:lpstr>
      <vt:lpstr>Age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 Bangoura</cp:lastModifiedBy>
  <dcterms:created xsi:type="dcterms:W3CDTF">2026-06-12T04:12:15Z</dcterms:created>
  <dcterms:modified xsi:type="dcterms:W3CDTF">2026-06-12T17:57:57Z</dcterms:modified>
</cp:coreProperties>
</file>